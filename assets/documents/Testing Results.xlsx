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 Info" sheetId="1" r:id="rId5"/>
    <sheet state="visible" name="Raw Student Data" sheetId="2" r:id="rId6"/>
    <sheet state="visible" name="Raw FPS Data" sheetId="3" r:id="rId7"/>
    <sheet state="visible" name="Raw Observation Data" sheetId="4" r:id="rId8"/>
    <sheet state="visible" name="Calculations" sheetId="5" r:id="rId9"/>
    <sheet state="visible" name="Final Results" sheetId="6" r:id="rId10"/>
  </sheets>
  <definedNames/>
  <calcPr/>
</workbook>
</file>

<file path=xl/sharedStrings.xml><?xml version="1.0" encoding="utf-8"?>
<sst xmlns="http://schemas.openxmlformats.org/spreadsheetml/2006/main" count="385" uniqueCount="174">
  <si>
    <t>Lakmaga VR Testing Results</t>
  </si>
  <si>
    <t>Parameter</t>
  </si>
  <si>
    <t>Value</t>
  </si>
  <si>
    <t>Project</t>
  </si>
  <si>
    <t>Lakmaga: A Gamified VR Educational Platform for Middle School Curriculum in Sri Lanka</t>
  </si>
  <si>
    <t>Target Group</t>
  </si>
  <si>
    <t>Middle school students (pilot sample)</t>
  </si>
  <si>
    <t>Sample Size</t>
  </si>
  <si>
    <t>Device</t>
  </si>
  <si>
    <t>Meta Quest 3</t>
  </si>
  <si>
    <t>Engine</t>
  </si>
  <si>
    <t>Unity 3D</t>
  </si>
  <si>
    <t>Session Duration (minutes)</t>
  </si>
  <si>
    <t>Environment</t>
  </si>
  <si>
    <t>Ancient Sigiriya village learning environment</t>
  </si>
  <si>
    <t>Measurement Sources</t>
  </si>
  <si>
    <t>Pre/post quiz scores, in-app telemetry, structured observation, Unity performance monitor</t>
  </si>
  <si>
    <t>Raw Student Performance Data (20 Students)</t>
  </si>
  <si>
    <t>Student ID</t>
  </si>
  <si>
    <t>Student Name</t>
  </si>
  <si>
    <t>Grade</t>
  </si>
  <si>
    <t>Gender</t>
  </si>
  <si>
    <t>Pre-Test (%)</t>
  </si>
  <si>
    <t>Post-Test (%)</t>
  </si>
  <si>
    <t>Classification Accuracy (%)</t>
  </si>
  <si>
    <t>Food Web Success (%)</t>
  </si>
  <si>
    <t>Water Task Time (min)</t>
  </si>
  <si>
    <t>Food Web Time (min)</t>
  </si>
  <si>
    <t>Hints Used</t>
  </si>
  <si>
    <t>Completed All Tasks</t>
  </si>
  <si>
    <t>Improved &gt;=10%?</t>
  </si>
  <si>
    <t>Improvement %</t>
  </si>
  <si>
    <t>S01</t>
  </si>
  <si>
    <t>Nethmi Perera</t>
  </si>
  <si>
    <t>F</t>
  </si>
  <si>
    <t>Yes</t>
  </si>
  <si>
    <t>S02</t>
  </si>
  <si>
    <t>Kavindu Jayasinghe</t>
  </si>
  <si>
    <t>M</t>
  </si>
  <si>
    <t>S03</t>
  </si>
  <si>
    <t>Dinuka Fernando</t>
  </si>
  <si>
    <t>S04</t>
  </si>
  <si>
    <t>Sashini Wickramasinghe</t>
  </si>
  <si>
    <t>S05</t>
  </si>
  <si>
    <t>Tharindu Senanayake</t>
  </si>
  <si>
    <t>S06</t>
  </si>
  <si>
    <t>Piumi Madushani</t>
  </si>
  <si>
    <t>No</t>
  </si>
  <si>
    <t>S07</t>
  </si>
  <si>
    <t>Isuru Lakmal</t>
  </si>
  <si>
    <t>S08</t>
  </si>
  <si>
    <t>Chamodi Ranasinghe</t>
  </si>
  <si>
    <t>S09</t>
  </si>
  <si>
    <t>Ravindu Ekanayake</t>
  </si>
  <si>
    <t>S10</t>
  </si>
  <si>
    <t>Hiruni Samarakoon</t>
  </si>
  <si>
    <t>S11</t>
  </si>
  <si>
    <t>Madhava Peiris</t>
  </si>
  <si>
    <t>S12</t>
  </si>
  <si>
    <t>Nisansala Gunawardena</t>
  </si>
  <si>
    <t>S13</t>
  </si>
  <si>
    <t>Dulanjali Herath</t>
  </si>
  <si>
    <t>S14</t>
  </si>
  <si>
    <t>Sandun Rajapaksha</t>
  </si>
  <si>
    <t>S15</t>
  </si>
  <si>
    <t>Yasasvi Karunaratne</t>
  </si>
  <si>
    <t>S16</t>
  </si>
  <si>
    <t>Rashmika Abeysekara</t>
  </si>
  <si>
    <t>S17</t>
  </si>
  <si>
    <t>Nadeesha Dissanayake</t>
  </si>
  <si>
    <t>S18</t>
  </si>
  <si>
    <t>Keshani Silva</t>
  </si>
  <si>
    <t>S19</t>
  </si>
  <si>
    <t>Vihanga Bandara</t>
  </si>
  <si>
    <t>S20</t>
  </si>
  <si>
    <t>Malsha Jayawardene</t>
  </si>
  <si>
    <t>Measurement notes: Pre-Test and Post-Test are 100-point equivalent quiz scores collected before and after the VR session. Classification Accuracy reflects correct identification of ecosystem components inside the VR task. Food Web Success reflects correct ordering of organisms and energy flow construction. Hints Used counts system prompts triggered by the learner.</t>
  </si>
  <si>
    <t>Raw Technical Telemetry: Frame Rate Log</t>
  </si>
  <si>
    <t>Timestamp (sec)</t>
  </si>
  <si>
    <t>FPS</t>
  </si>
  <si>
    <t>App State</t>
  </si>
  <si>
    <t>Notes</t>
  </si>
  <si>
    <t>Scene Load / Intro</t>
  </si>
  <si>
    <t>Stable performance</t>
  </si>
  <si>
    <t>Water Task</t>
  </si>
  <si>
    <t>Food Web Task</t>
  </si>
  <si>
    <t>Free Exploration / Exit</t>
  </si>
  <si>
    <t>Measurement method: FPS captured from Unity performance monitor during an active simulation session on Meta Quest 3. Values represent periodic samples across a full learning session.</t>
  </si>
  <si>
    <t>Raw Observation and Usability Ratings</t>
  </si>
  <si>
    <t>Engagement Rating (1-5)</t>
  </si>
  <si>
    <t>Motivation Rating (1-5)</t>
  </si>
  <si>
    <t>Ease of Navigation (1-5)</t>
  </si>
  <si>
    <t>Needed Teacher Help?</t>
  </si>
  <si>
    <t>Peer Discussion Observed?</t>
  </si>
  <si>
    <t>Curiosity Observed?</t>
  </si>
  <si>
    <t>Motion Discomfort?</t>
  </si>
  <si>
    <t>Comments</t>
  </si>
  <si>
    <t>High</t>
  </si>
  <si>
    <t>Strong interest in exploring tasks</t>
  </si>
  <si>
    <t>Moderate</t>
  </si>
  <si>
    <t>Completed tasks with steady focus</t>
  </si>
  <si>
    <t>Mild</t>
  </si>
  <si>
    <t>Formula-Based Calculations</t>
  </si>
  <si>
    <t>Metric</t>
  </si>
  <si>
    <t>Formula Output</t>
  </si>
  <si>
    <t>Key Proof</t>
  </si>
  <si>
    <t>Formula / Logic</t>
  </si>
  <si>
    <t>Source Sheet</t>
  </si>
  <si>
    <t>Purpose</t>
  </si>
  <si>
    <t>Average Post-Test Score</t>
  </si>
  <si>
    <t>Improvement flag</t>
  </si>
  <si>
    <t>=IF(Post-Test - Pre-Test &gt;= 10, "Yes", "No")</t>
  </si>
  <si>
    <t>Raw Student Data</t>
  </si>
  <si>
    <t>Shows how improved students are counted</t>
  </si>
  <si>
    <t>Average Learning Gain (points)</t>
  </si>
  <si>
    <t>=COUNTIF(Improved Flag, "Yes") / Total Students * 100</t>
  </si>
  <si>
    <t>Calculations</t>
  </si>
  <si>
    <t>Supports memory/learning improvement claim</t>
  </si>
  <si>
    <t>Students Improved &gt;=10% (count)</t>
  </si>
  <si>
    <t>Average FPS</t>
  </si>
  <si>
    <t>=AVERAGE(FPS samples)</t>
  </si>
  <si>
    <t>Raw FPS Data</t>
  </si>
  <si>
    <t>Supports technical performance claim</t>
  </si>
  <si>
    <t>Students Improved &gt;=10% (%)</t>
  </si>
  <si>
    <t>Engagement %</t>
  </si>
  <si>
    <t>=AVERAGE(Engagement ratings) / 5 * 100</t>
  </si>
  <si>
    <t>Raw Observation Data</t>
  </si>
  <si>
    <t>Supports engagement claim</t>
  </si>
  <si>
    <t>Average Classification Accuracy (%)</t>
  </si>
  <si>
    <t>Average Food Web Success (%)</t>
  </si>
  <si>
    <t>Average Water Task Time (min)</t>
  </si>
  <si>
    <t>Average Food Web Time (min)</t>
  </si>
  <si>
    <t>Task Completion Rate (%)</t>
  </si>
  <si>
    <t>Average Hints Used</t>
  </si>
  <si>
    <t>Average Engagement Rating</t>
  </si>
  <si>
    <t>Average Motivation Rating</t>
  </si>
  <si>
    <t>Average Navigation Rating</t>
  </si>
  <si>
    <t>Peer Discussion Observed (%)</t>
  </si>
  <si>
    <t>Teacher Help Needed (%)</t>
  </si>
  <si>
    <t>Minimum FPS</t>
  </si>
  <si>
    <t>Maximum FPS</t>
  </si>
  <si>
    <t>FPS Stability Range</t>
  </si>
  <si>
    <t>System Usability (%)</t>
  </si>
  <si>
    <t>Student Engagement (%)</t>
  </si>
  <si>
    <t>Task Performance (%)</t>
  </si>
  <si>
    <t>Learning Effectiveness (%)</t>
  </si>
  <si>
    <t>Technical Performance (%)</t>
  </si>
  <si>
    <t>Final Results for Paper Tables and Graphs</t>
  </si>
  <si>
    <t>Overall Evaluation Metric</t>
  </si>
  <si>
    <t>Value (%)</t>
  </si>
  <si>
    <t>Evaluation Metric</t>
  </si>
  <si>
    <t>Measured Outcome</t>
  </si>
  <si>
    <t>Source</t>
  </si>
  <si>
    <t>Learning Effectiveness</t>
  </si>
  <si>
    <t>Component Identification Accuracy</t>
  </si>
  <si>
    <t>Student Engagement</t>
  </si>
  <si>
    <t>Hardware Frame Rate Stability (FPS)</t>
  </si>
  <si>
    <t>Task Performance</t>
  </si>
  <si>
    <t>System Usability</t>
  </si>
  <si>
    <t>Food Web Construction Proficiency (%)</t>
  </si>
  <si>
    <t>Technical Performance</t>
  </si>
  <si>
    <t>Student Performance Metric</t>
  </si>
  <si>
    <t>Unit</t>
  </si>
  <si>
    <t>Observation Metric</t>
  </si>
  <si>
    <t>Average Classification Accuracy</t>
  </si>
  <si>
    <t>%</t>
  </si>
  <si>
    <t>Average Engagement</t>
  </si>
  <si>
    <t>/5</t>
  </si>
  <si>
    <t>Average Food Web Success</t>
  </si>
  <si>
    <t>Average Motivation</t>
  </si>
  <si>
    <t>Task Completion Rate</t>
  </si>
  <si>
    <t>Average Navigation</t>
  </si>
  <si>
    <t>Peer Discussion Observed</t>
  </si>
  <si>
    <t>Teacher Help Needed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</si>
</sst>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6">
    <font>
      <sz val="11.0"/>
      <color rgb="FF000000"/>
      <name val="Carlito"/>
      <scheme val="minor"/>
    </font>
    <font>
      <b/>
      <sz val="14.0"/>
      <color rgb="FFFFFFFF"/>
      <name val="Roboto"/>
    </font>
    <font>
      <color theme="1"/>
      <name val="Roboto"/>
    </font>
    <font>
      <b/>
      <sz val="10.0"/>
      <color rgb="FFFFFFFF"/>
      <name val="Roboto"/>
    </font>
    <font>
      <sz val="10.0"/>
      <color theme="1"/>
      <name val="Roboto"/>
    </font>
    <font>
      <i/>
      <sz val="10.0"/>
      <color rgb="FF7F6000"/>
      <name val="Roboto"/>
    </font>
  </fonts>
  <fills count="5">
    <fill>
      <patternFill patternType="none"/>
    </fill>
    <fill>
      <patternFill patternType="lightGray"/>
    </fill>
    <fill>
      <patternFill patternType="solid">
        <fgColor rgb="FF0F243E"/>
        <bgColor rgb="FF0F243E"/>
      </patternFill>
    </fill>
    <fill>
      <patternFill patternType="solid">
        <fgColor rgb="FF1F4E78"/>
        <bgColor rgb="FF1F4E78"/>
      </patternFill>
    </fill>
    <fill>
      <patternFill patternType="solid">
        <fgColor rgb="FFFFF2CC"/>
        <bgColor rgb="FFFFF2CC"/>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Font="1"/>
    <xf borderId="0" fillId="0" fontId="2" numFmtId="0" xfId="0" applyFont="1"/>
    <xf borderId="0" fillId="3" fontId="3" numFmtId="0" xfId="0" applyAlignment="1" applyFill="1" applyFont="1">
      <alignment horizontal="center" vertical="center"/>
    </xf>
    <xf borderId="0" fillId="0" fontId="4" numFmtId="0" xfId="0" applyFont="1"/>
    <xf borderId="0" fillId="0" fontId="4" numFmtId="0" xfId="0" applyAlignment="1" applyFont="1">
      <alignment horizontal="left"/>
    </xf>
    <xf borderId="0" fillId="0" fontId="4" numFmtId="0" xfId="0" applyAlignment="1" applyFont="1">
      <alignment horizontal="left" readingOrder="0"/>
    </xf>
    <xf borderId="0" fillId="2" fontId="1" numFmtId="0" xfId="0" applyAlignment="1" applyFont="1">
      <alignment horizontal="center" vertical="center"/>
    </xf>
    <xf borderId="0" fillId="0" fontId="4" numFmtId="1" xfId="0" applyFont="1" applyNumberFormat="1"/>
    <xf borderId="0" fillId="0" fontId="4" numFmtId="164" xfId="0" applyFont="1" applyNumberFormat="1"/>
    <xf borderId="0" fillId="4" fontId="5" numFmtId="0" xfId="0" applyAlignment="1" applyFill="1" applyFont="1">
      <alignment shrinkToFit="0" vertical="center" wrapText="1"/>
    </xf>
    <xf borderId="0" fillId="2" fontId="3"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Roboto"/>
              </a:defRPr>
            </a:pPr>
            <a:r>
              <a:rPr b="0">
                <a:solidFill>
                  <a:srgbClr val="757575"/>
                </a:solidFill>
                <a:latin typeface="Roboto"/>
              </a:rPr>
              <a:t>Overall Evaluation Summary</a:t>
            </a:r>
          </a:p>
        </c:rich>
      </c:tx>
      <c:overlay val="0"/>
    </c:title>
    <c:plotArea>
      <c:layout/>
      <c:barChart>
        <c:barDir val="col"/>
        <c:ser>
          <c:idx val="0"/>
          <c:order val="0"/>
          <c:tx>
            <c:v>Value (%)</c:v>
          </c:tx>
          <c:spPr>
            <a:solidFill>
              <a:srgbClr val="3C78D8"/>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'Final Results'!$A$4:$A$8</c:f>
            </c:strRef>
          </c:cat>
          <c:val>
            <c:numRef>
              <c:f>'Final Results'!$B$4:$B$8</c:f>
              <c:numCache/>
            </c:numRef>
          </c:val>
        </c:ser>
        <c:axId val="290883866"/>
        <c:axId val="806034714"/>
      </c:barChart>
      <c:catAx>
        <c:axId val="29088386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 sourceLinked="0"/>
        <c:majorTickMark val="none"/>
        <c:minorTickMark val="none"/>
        <c:spPr/>
        <c:txPr>
          <a:bodyPr/>
          <a:lstStyle/>
          <a:p>
            <a:pPr lvl="0">
              <a:defRPr b="0">
                <a:solidFill>
                  <a:srgbClr val="000000"/>
                </a:solidFill>
                <a:latin typeface="Roboto"/>
              </a:defRPr>
            </a:pPr>
          </a:p>
        </c:txPr>
        <c:crossAx val="806034714"/>
      </c:catAx>
      <c:valAx>
        <c:axId val="8060347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 sourceLinked="0"/>
        <c:majorTickMark val="cross"/>
        <c:minorTickMark val="cross"/>
        <c:tickLblPos val="nextTo"/>
        <c:spPr>
          <a:ln/>
        </c:spPr>
        <c:txPr>
          <a:bodyPr/>
          <a:lstStyle/>
          <a:p>
            <a:pPr lvl="0">
              <a:defRPr b="0">
                <a:solidFill>
                  <a:srgbClr val="000000"/>
                </a:solidFill>
                <a:latin typeface="Roboto"/>
              </a:defRPr>
            </a:pPr>
          </a:p>
        </c:txPr>
        <c:crossAx val="290883866"/>
      </c:valAx>
    </c:plotArea>
    <c:legend>
      <c:legendPos val="b"/>
      <c:overlay val="0"/>
      <c:txPr>
        <a:bodyPr/>
        <a:lstStyle/>
        <a:p>
          <a:pPr lvl="0">
            <a:defRPr b="0">
              <a:solidFill>
                <a:srgbClr val="1A1A1A"/>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Roboto"/>
              </a:defRPr>
            </a:pPr>
            <a:r>
              <a:rPr b="0">
                <a:solidFill>
                  <a:srgbClr val="757575"/>
                </a:solidFill>
                <a:latin typeface="Roboto"/>
              </a:rPr>
              <a:t>Student Performance Metrics</a:t>
            </a:r>
          </a:p>
        </c:rich>
      </c:tx>
      <c:overlay val="0"/>
    </c:title>
    <c:plotArea>
      <c:layout/>
      <c:barChart>
        <c:barDir val="col"/>
        <c:ser>
          <c:idx val="0"/>
          <c:order val="0"/>
          <c:tx>
            <c:v>Value (%)</c:v>
          </c:tx>
          <c:spPr>
            <a:solidFill>
              <a:srgbClr val="674EA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'Final Results'!$A$12:$A$14</c:f>
            </c:strRef>
          </c:cat>
          <c:val>
            <c:numRef>
              <c:f>'Final Results'!$B$12:$B$14</c:f>
              <c:numCache/>
            </c:numRef>
          </c:val>
        </c:ser>
        <c:axId val="496905396"/>
        <c:axId val="1867029739"/>
      </c:barChart>
      <c:catAx>
        <c:axId val="49690539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 sourceLinked="0"/>
        <c:majorTickMark val="none"/>
        <c:minorTickMark val="none"/>
        <c:spPr/>
        <c:txPr>
          <a:bodyPr/>
          <a:lstStyle/>
          <a:p>
            <a:pPr lvl="0">
              <a:defRPr b="0">
                <a:solidFill>
                  <a:srgbClr val="000000"/>
                </a:solidFill>
                <a:latin typeface="Roboto"/>
              </a:defRPr>
            </a:pPr>
          </a:p>
        </c:txPr>
        <c:crossAx val="1867029739"/>
      </c:catAx>
      <c:valAx>
        <c:axId val="18670297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 sourceLinked="0"/>
        <c:majorTickMark val="cross"/>
        <c:minorTickMark val="cross"/>
        <c:tickLblPos val="nextTo"/>
        <c:spPr>
          <a:ln/>
        </c:spPr>
        <c:txPr>
          <a:bodyPr/>
          <a:lstStyle/>
          <a:p>
            <a:pPr lvl="0">
              <a:defRPr b="0">
                <a:solidFill>
                  <a:srgbClr val="000000"/>
                </a:solidFill>
                <a:latin typeface="Roboto"/>
              </a:defRPr>
            </a:pPr>
          </a:p>
        </c:txPr>
        <c:crossAx val="496905396"/>
      </c:valAx>
    </c:plotArea>
    <c:legend>
      <c:legendPos val="b"/>
      <c:overlay val="0"/>
      <c:txPr>
        <a:bodyPr/>
        <a:lstStyle/>
        <a:p>
          <a:pPr lvl="0">
            <a:defRPr b="0">
              <a:solidFill>
                <a:srgbClr val="1A1A1A"/>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Roboto"/>
              </a:defRPr>
            </a:pPr>
            <a:r>
              <a:rPr b="0">
                <a:solidFill>
                  <a:srgbClr val="757575"/>
                </a:solidFill>
                <a:latin typeface="Roboto"/>
              </a:rPr>
              <a:t>Observation Summary</a:t>
            </a:r>
          </a:p>
        </c:rich>
      </c:tx>
      <c:overlay val="0"/>
    </c:title>
    <c:plotArea>
      <c:layout/>
      <c:pieChart>
        <c:varyColors val="1"/>
        <c:ser>
          <c:idx val="0"/>
          <c:order val="0"/>
          <c:dPt>
            <c:idx val="0"/>
            <c:spPr>
              <a:solidFill>
                <a:srgbClr val="E43E2B"/>
              </a:solidFill>
            </c:spPr>
          </c:dPt>
          <c:dPt>
            <c:idx val="1"/>
            <c:spPr>
              <a:solidFill>
                <a:srgbClr val="F0B501"/>
              </a:solidFill>
            </c:spPr>
          </c:dPt>
          <c:dPt>
            <c:idx val="2"/>
            <c:spPr>
              <a:solidFill>
                <a:srgbClr val="2BA24C"/>
              </a:solidFill>
            </c:spPr>
          </c:dPt>
          <c:dPt>
            <c:idx val="3"/>
            <c:spPr>
              <a:solidFill>
                <a:srgbClr val="3B7DED"/>
              </a:solidFill>
            </c:spPr>
          </c:dPt>
          <c:dLbls>
            <c:showLegendKey val="0"/>
            <c:showVal val="0"/>
            <c:showCatName val="0"/>
            <c:showSerName val="0"/>
            <c:showPercent val="0"/>
            <c:showBubbleSize val="0"/>
            <c:showLeaderLines val="1"/>
          </c:dLbls>
          <c:cat>
            <c:strRef>
              <c:f>'Final Results'!$D$12:$D$15</c:f>
            </c:strRef>
          </c:cat>
          <c:val>
            <c:numRef>
              <c:f>'Final Results'!$E$12:$E$15</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a:solidFill>
                <a:srgbClr val="1A1A1A"/>
              </a:solidFill>
              <a:latin typeface="Roboto"/>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2</xdr:row>
      <xdr:rowOff>0</xdr:rowOff>
    </xdr:from>
    <xdr:ext cx="4600575" cy="32004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0</xdr:colOff>
      <xdr:row>19</xdr:row>
      <xdr:rowOff>47625</xdr:rowOff>
    </xdr:from>
    <xdr:ext cx="4600575" cy="30003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14</xdr:col>
      <xdr:colOff>85725</xdr:colOff>
      <xdr:row>2</xdr:row>
      <xdr:rowOff>0</xdr:rowOff>
    </xdr:from>
    <xdr:ext cx="4600575" cy="32004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70.0"/>
    <col customWidth="1" min="3" max="26" width="8.63"/>
  </cols>
  <sheetData>
    <row r="1">
      <c r="A1" s="1" t="s">
        <v>0</v>
      </c>
      <c r="C1" s="2"/>
      <c r="D1" s="2"/>
      <c r="E1" s="2"/>
      <c r="F1" s="2"/>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4" t="s">
        <v>1</v>
      </c>
      <c r="B3" s="4" t="s">
        <v>2</v>
      </c>
      <c r="C3" s="3"/>
      <c r="D3" s="3"/>
      <c r="E3" s="3"/>
      <c r="F3" s="3"/>
      <c r="G3" s="3"/>
      <c r="H3" s="3"/>
      <c r="I3" s="3"/>
      <c r="J3" s="3"/>
      <c r="K3" s="3"/>
      <c r="L3" s="3"/>
      <c r="M3" s="3"/>
      <c r="N3" s="3"/>
      <c r="O3" s="3"/>
      <c r="P3" s="3"/>
      <c r="Q3" s="3"/>
      <c r="R3" s="3"/>
      <c r="S3" s="3"/>
      <c r="T3" s="3"/>
      <c r="U3" s="3"/>
      <c r="V3" s="3"/>
      <c r="W3" s="3"/>
      <c r="X3" s="3"/>
      <c r="Y3" s="3"/>
      <c r="Z3" s="3"/>
    </row>
    <row r="4">
      <c r="A4" s="5" t="s">
        <v>3</v>
      </c>
      <c r="B4" s="6" t="s">
        <v>4</v>
      </c>
      <c r="C4" s="3"/>
      <c r="D4" s="3"/>
      <c r="E4" s="3"/>
      <c r="F4" s="3"/>
      <c r="G4" s="3"/>
      <c r="H4" s="3"/>
      <c r="I4" s="3"/>
      <c r="J4" s="3"/>
      <c r="K4" s="3"/>
      <c r="L4" s="3"/>
      <c r="M4" s="3"/>
      <c r="N4" s="3"/>
      <c r="O4" s="3"/>
      <c r="P4" s="3"/>
      <c r="Q4" s="3"/>
      <c r="R4" s="3"/>
      <c r="S4" s="3"/>
      <c r="T4" s="3"/>
      <c r="U4" s="3"/>
      <c r="V4" s="3"/>
      <c r="W4" s="3"/>
      <c r="X4" s="3"/>
      <c r="Y4" s="3"/>
      <c r="Z4" s="3"/>
    </row>
    <row r="5">
      <c r="A5" s="5" t="s">
        <v>5</v>
      </c>
      <c r="B5" s="6" t="s">
        <v>6</v>
      </c>
      <c r="C5" s="3"/>
      <c r="D5" s="3"/>
      <c r="E5" s="3"/>
      <c r="F5" s="3"/>
      <c r="G5" s="3"/>
      <c r="H5" s="3"/>
      <c r="I5" s="3"/>
      <c r="J5" s="3"/>
      <c r="K5" s="3"/>
      <c r="L5" s="3"/>
      <c r="M5" s="3"/>
      <c r="N5" s="3"/>
      <c r="O5" s="3"/>
      <c r="P5" s="3"/>
      <c r="Q5" s="3"/>
      <c r="R5" s="3"/>
      <c r="S5" s="3"/>
      <c r="T5" s="3"/>
      <c r="U5" s="3"/>
      <c r="V5" s="3"/>
      <c r="W5" s="3"/>
      <c r="X5" s="3"/>
      <c r="Y5" s="3"/>
      <c r="Z5" s="3"/>
    </row>
    <row r="6">
      <c r="A6" s="5" t="s">
        <v>7</v>
      </c>
      <c r="B6" s="6">
        <v>20.0</v>
      </c>
      <c r="C6" s="3"/>
      <c r="D6" s="3"/>
      <c r="E6" s="3"/>
      <c r="F6" s="3"/>
      <c r="G6" s="3"/>
      <c r="H6" s="3"/>
      <c r="I6" s="3"/>
      <c r="J6" s="3"/>
      <c r="K6" s="3"/>
      <c r="L6" s="3"/>
      <c r="M6" s="3"/>
      <c r="N6" s="3"/>
      <c r="O6" s="3"/>
      <c r="P6" s="3"/>
      <c r="Q6" s="3"/>
      <c r="R6" s="3"/>
      <c r="S6" s="3"/>
      <c r="T6" s="3"/>
      <c r="U6" s="3"/>
      <c r="V6" s="3"/>
      <c r="W6" s="3"/>
      <c r="X6" s="3"/>
      <c r="Y6" s="3"/>
      <c r="Z6" s="3"/>
    </row>
    <row r="7">
      <c r="A7" s="5" t="s">
        <v>8</v>
      </c>
      <c r="B7" s="6" t="s">
        <v>9</v>
      </c>
      <c r="C7" s="3"/>
      <c r="D7" s="3"/>
      <c r="E7" s="3"/>
      <c r="F7" s="3"/>
      <c r="G7" s="3"/>
      <c r="H7" s="3"/>
      <c r="I7" s="3"/>
      <c r="J7" s="3"/>
      <c r="K7" s="3"/>
      <c r="L7" s="3"/>
      <c r="M7" s="3"/>
      <c r="N7" s="3"/>
      <c r="O7" s="3"/>
      <c r="P7" s="3"/>
      <c r="Q7" s="3"/>
      <c r="R7" s="3"/>
      <c r="S7" s="3"/>
      <c r="T7" s="3"/>
      <c r="U7" s="3"/>
      <c r="V7" s="3"/>
      <c r="W7" s="3"/>
      <c r="X7" s="3"/>
      <c r="Y7" s="3"/>
      <c r="Z7" s="3"/>
    </row>
    <row r="8">
      <c r="A8" s="5" t="s">
        <v>10</v>
      </c>
      <c r="B8" s="6" t="s">
        <v>11</v>
      </c>
      <c r="C8" s="3"/>
      <c r="D8" s="3"/>
      <c r="E8" s="3"/>
      <c r="F8" s="3"/>
      <c r="G8" s="3"/>
      <c r="H8" s="3"/>
      <c r="I8" s="3"/>
      <c r="J8" s="3"/>
      <c r="K8" s="3"/>
      <c r="L8" s="3"/>
      <c r="M8" s="3"/>
      <c r="N8" s="3"/>
      <c r="O8" s="3"/>
      <c r="P8" s="3"/>
      <c r="Q8" s="3"/>
      <c r="R8" s="3"/>
      <c r="S8" s="3"/>
      <c r="T8" s="3"/>
      <c r="U8" s="3"/>
      <c r="V8" s="3"/>
      <c r="W8" s="3"/>
      <c r="X8" s="3"/>
      <c r="Y8" s="3"/>
      <c r="Z8" s="3"/>
    </row>
    <row r="9">
      <c r="A9" s="5" t="s">
        <v>12</v>
      </c>
      <c r="B9" s="7">
        <v>10.0</v>
      </c>
      <c r="C9" s="3"/>
      <c r="D9" s="3"/>
      <c r="E9" s="3"/>
      <c r="F9" s="3"/>
      <c r="G9" s="3"/>
      <c r="H9" s="3"/>
      <c r="I9" s="3"/>
      <c r="J9" s="3"/>
      <c r="K9" s="3"/>
      <c r="L9" s="3"/>
      <c r="M9" s="3"/>
      <c r="N9" s="3"/>
      <c r="O9" s="3"/>
      <c r="P9" s="3"/>
      <c r="Q9" s="3"/>
      <c r="R9" s="3"/>
      <c r="S9" s="3"/>
      <c r="T9" s="3"/>
      <c r="U9" s="3"/>
      <c r="V9" s="3"/>
      <c r="W9" s="3"/>
      <c r="X9" s="3"/>
      <c r="Y9" s="3"/>
      <c r="Z9" s="3"/>
    </row>
    <row r="10">
      <c r="A10" s="5" t="s">
        <v>13</v>
      </c>
      <c r="B10" s="6" t="s">
        <v>14</v>
      </c>
      <c r="C10" s="3"/>
      <c r="D10" s="3"/>
      <c r="E10" s="3"/>
      <c r="F10" s="3"/>
      <c r="G10" s="3"/>
      <c r="H10" s="3"/>
      <c r="I10" s="3"/>
      <c r="J10" s="3"/>
      <c r="K10" s="3"/>
      <c r="L10" s="3"/>
      <c r="M10" s="3"/>
      <c r="N10" s="3"/>
      <c r="O10" s="3"/>
      <c r="P10" s="3"/>
      <c r="Q10" s="3"/>
      <c r="R10" s="3"/>
      <c r="S10" s="3"/>
      <c r="T10" s="3"/>
      <c r="U10" s="3"/>
      <c r="V10" s="3"/>
      <c r="W10" s="3"/>
      <c r="X10" s="3"/>
      <c r="Y10" s="3"/>
      <c r="Z10" s="3"/>
    </row>
    <row r="11">
      <c r="A11" s="5" t="s">
        <v>15</v>
      </c>
      <c r="B11" s="6" t="s">
        <v>16</v>
      </c>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1:B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21.38"/>
    <col customWidth="1" min="3" max="4" width="8.0"/>
    <col customWidth="1" min="5" max="5" width="12.0"/>
    <col customWidth="1" min="6" max="6" width="13.0"/>
    <col customWidth="1" min="7" max="7" width="23.88"/>
    <col customWidth="1" min="8" max="8" width="20.13"/>
    <col customWidth="1" min="9" max="9" width="19.63"/>
    <col customWidth="1" min="10" max="10" width="19.13"/>
    <col customWidth="1" min="11" max="11" width="11.0"/>
    <col customWidth="1" min="12" max="13" width="16.0"/>
    <col customWidth="1" min="14" max="14" width="14.0"/>
    <col customWidth="1" min="15" max="26" width="8.63"/>
  </cols>
  <sheetData>
    <row r="1">
      <c r="A1" s="8" t="s">
        <v>17</v>
      </c>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4" t="s">
        <v>18</v>
      </c>
      <c r="B3" s="4" t="s">
        <v>19</v>
      </c>
      <c r="C3" s="4" t="s">
        <v>20</v>
      </c>
      <c r="D3" s="4" t="s">
        <v>21</v>
      </c>
      <c r="E3" s="4" t="s">
        <v>22</v>
      </c>
      <c r="F3" s="4" t="s">
        <v>23</v>
      </c>
      <c r="G3" s="4" t="s">
        <v>24</v>
      </c>
      <c r="H3" s="4" t="s">
        <v>25</v>
      </c>
      <c r="I3" s="4" t="s">
        <v>26</v>
      </c>
      <c r="J3" s="4" t="s">
        <v>27</v>
      </c>
      <c r="K3" s="4" t="s">
        <v>28</v>
      </c>
      <c r="L3" s="4" t="s">
        <v>29</v>
      </c>
      <c r="M3" s="4" t="s">
        <v>30</v>
      </c>
      <c r="N3" s="4" t="s">
        <v>31</v>
      </c>
      <c r="O3" s="5"/>
      <c r="P3" s="5"/>
      <c r="Q3" s="5"/>
      <c r="R3" s="5"/>
      <c r="S3" s="5"/>
      <c r="T3" s="5"/>
      <c r="U3" s="5"/>
      <c r="V3" s="5"/>
      <c r="W3" s="5"/>
      <c r="X3" s="5"/>
      <c r="Y3" s="5"/>
      <c r="Z3" s="5"/>
    </row>
    <row r="4">
      <c r="A4" s="5" t="s">
        <v>32</v>
      </c>
      <c r="B4" s="5" t="s">
        <v>33</v>
      </c>
      <c r="C4" s="5">
        <v>8.0</v>
      </c>
      <c r="D4" s="5" t="s">
        <v>34</v>
      </c>
      <c r="E4" s="9">
        <v>50.0</v>
      </c>
      <c r="F4" s="9">
        <v>60.0</v>
      </c>
      <c r="G4" s="9">
        <v>94.0</v>
      </c>
      <c r="H4" s="9">
        <v>92.0</v>
      </c>
      <c r="I4" s="10">
        <v>3.3</v>
      </c>
      <c r="J4" s="10">
        <v>2.7</v>
      </c>
      <c r="K4" s="10">
        <v>0.0</v>
      </c>
      <c r="L4" s="10" t="s">
        <v>35</v>
      </c>
      <c r="M4" s="10" t="str">
        <f t="shared" ref="M4:M23" si="1">IF(F4-E4&gt;=10,"Yes","No")</f>
        <v>Yes</v>
      </c>
      <c r="N4" s="10">
        <f t="shared" ref="N4:N23" si="2">F4-E4</f>
        <v>10</v>
      </c>
      <c r="O4" s="5"/>
      <c r="P4" s="5"/>
      <c r="Q4" s="5"/>
      <c r="R4" s="5"/>
      <c r="S4" s="5"/>
      <c r="T4" s="5"/>
      <c r="U4" s="5"/>
      <c r="V4" s="5"/>
      <c r="W4" s="5"/>
      <c r="X4" s="5"/>
      <c r="Y4" s="5"/>
      <c r="Z4" s="5"/>
    </row>
    <row r="5">
      <c r="A5" s="5" t="s">
        <v>36</v>
      </c>
      <c r="B5" s="5" t="s">
        <v>37</v>
      </c>
      <c r="C5" s="5">
        <v>9.0</v>
      </c>
      <c r="D5" s="5" t="s">
        <v>38</v>
      </c>
      <c r="E5" s="9">
        <v>64.0</v>
      </c>
      <c r="F5" s="9">
        <v>74.0</v>
      </c>
      <c r="G5" s="9">
        <v>92.0</v>
      </c>
      <c r="H5" s="9">
        <v>94.0</v>
      </c>
      <c r="I5" s="10">
        <v>2.9</v>
      </c>
      <c r="J5" s="10">
        <v>2.7</v>
      </c>
      <c r="K5" s="10">
        <v>1.0</v>
      </c>
      <c r="L5" s="10" t="s">
        <v>35</v>
      </c>
      <c r="M5" s="10" t="str">
        <f t="shared" si="1"/>
        <v>Yes</v>
      </c>
      <c r="N5" s="10">
        <f t="shared" si="2"/>
        <v>10</v>
      </c>
      <c r="O5" s="5"/>
      <c r="P5" s="5"/>
      <c r="Q5" s="5"/>
      <c r="R5" s="5"/>
      <c r="S5" s="5"/>
      <c r="T5" s="5"/>
      <c r="U5" s="5"/>
      <c r="V5" s="5"/>
      <c r="W5" s="5"/>
      <c r="X5" s="5"/>
      <c r="Y5" s="5"/>
      <c r="Z5" s="5"/>
    </row>
    <row r="6">
      <c r="A6" s="5" t="s">
        <v>39</v>
      </c>
      <c r="B6" s="5" t="s">
        <v>40</v>
      </c>
      <c r="C6" s="5">
        <v>8.0</v>
      </c>
      <c r="D6" s="5" t="s">
        <v>38</v>
      </c>
      <c r="E6" s="9">
        <v>48.0</v>
      </c>
      <c r="F6" s="9">
        <v>62.0</v>
      </c>
      <c r="G6" s="9">
        <v>86.0</v>
      </c>
      <c r="H6" s="9">
        <v>98.0</v>
      </c>
      <c r="I6" s="10">
        <v>4.1</v>
      </c>
      <c r="J6" s="10">
        <v>3.4</v>
      </c>
      <c r="K6" s="10">
        <v>1.0</v>
      </c>
      <c r="L6" s="10" t="s">
        <v>35</v>
      </c>
      <c r="M6" s="10" t="str">
        <f t="shared" si="1"/>
        <v>Yes</v>
      </c>
      <c r="N6" s="10">
        <f t="shared" si="2"/>
        <v>14</v>
      </c>
      <c r="O6" s="5"/>
      <c r="P6" s="5"/>
      <c r="Q6" s="5"/>
      <c r="R6" s="5"/>
      <c r="S6" s="5"/>
      <c r="T6" s="5"/>
      <c r="U6" s="5"/>
      <c r="V6" s="5"/>
      <c r="W6" s="5"/>
      <c r="X6" s="5"/>
      <c r="Y6" s="5"/>
      <c r="Z6" s="5"/>
    </row>
    <row r="7">
      <c r="A7" s="5" t="s">
        <v>41</v>
      </c>
      <c r="B7" s="5" t="s">
        <v>42</v>
      </c>
      <c r="C7" s="5">
        <v>9.0</v>
      </c>
      <c r="D7" s="5" t="s">
        <v>34</v>
      </c>
      <c r="E7" s="9">
        <v>56.0</v>
      </c>
      <c r="F7" s="9">
        <v>72.0</v>
      </c>
      <c r="G7" s="9">
        <v>96.0</v>
      </c>
      <c r="H7" s="9">
        <v>88.0</v>
      </c>
      <c r="I7" s="10">
        <v>4.3</v>
      </c>
      <c r="J7" s="10">
        <v>2.8</v>
      </c>
      <c r="K7" s="10">
        <v>2.0</v>
      </c>
      <c r="L7" s="10" t="s">
        <v>35</v>
      </c>
      <c r="M7" s="10" t="str">
        <f t="shared" si="1"/>
        <v>Yes</v>
      </c>
      <c r="N7" s="10">
        <f t="shared" si="2"/>
        <v>16</v>
      </c>
      <c r="O7" s="5"/>
      <c r="P7" s="5"/>
      <c r="Q7" s="5"/>
      <c r="R7" s="5"/>
      <c r="S7" s="5"/>
      <c r="T7" s="5"/>
      <c r="U7" s="5"/>
      <c r="V7" s="5"/>
      <c r="W7" s="5"/>
      <c r="X7" s="5"/>
      <c r="Y7" s="5"/>
      <c r="Z7" s="5"/>
    </row>
    <row r="8">
      <c r="A8" s="5" t="s">
        <v>43</v>
      </c>
      <c r="B8" s="5" t="s">
        <v>44</v>
      </c>
      <c r="C8" s="5">
        <v>10.0</v>
      </c>
      <c r="D8" s="5" t="s">
        <v>38</v>
      </c>
      <c r="E8" s="9">
        <v>52.0</v>
      </c>
      <c r="F8" s="9">
        <v>63.0</v>
      </c>
      <c r="G8" s="9">
        <v>96.0</v>
      </c>
      <c r="H8" s="9">
        <v>92.0</v>
      </c>
      <c r="I8" s="10">
        <v>3.0</v>
      </c>
      <c r="J8" s="10">
        <v>3.1</v>
      </c>
      <c r="K8" s="10">
        <v>1.0</v>
      </c>
      <c r="L8" s="10" t="s">
        <v>35</v>
      </c>
      <c r="M8" s="10" t="str">
        <f t="shared" si="1"/>
        <v>Yes</v>
      </c>
      <c r="N8" s="10">
        <f t="shared" si="2"/>
        <v>11</v>
      </c>
      <c r="O8" s="5"/>
      <c r="P8" s="5"/>
      <c r="Q8" s="5"/>
      <c r="R8" s="5"/>
      <c r="S8" s="5"/>
      <c r="T8" s="5"/>
      <c r="U8" s="5"/>
      <c r="V8" s="5"/>
      <c r="W8" s="5"/>
      <c r="X8" s="5"/>
      <c r="Y8" s="5"/>
      <c r="Z8" s="5"/>
    </row>
    <row r="9">
      <c r="A9" s="5" t="s">
        <v>45</v>
      </c>
      <c r="B9" s="5" t="s">
        <v>46</v>
      </c>
      <c r="C9" s="5">
        <v>8.0</v>
      </c>
      <c r="D9" s="5" t="s">
        <v>34</v>
      </c>
      <c r="E9" s="9">
        <v>66.0</v>
      </c>
      <c r="F9" s="9">
        <v>78.0</v>
      </c>
      <c r="G9" s="9">
        <v>96.0</v>
      </c>
      <c r="H9" s="9">
        <v>88.0</v>
      </c>
      <c r="I9" s="10">
        <v>4.3</v>
      </c>
      <c r="J9" s="10">
        <v>3.4</v>
      </c>
      <c r="K9" s="10">
        <v>2.0</v>
      </c>
      <c r="L9" s="10" t="s">
        <v>47</v>
      </c>
      <c r="M9" s="10" t="str">
        <f t="shared" si="1"/>
        <v>Yes</v>
      </c>
      <c r="N9" s="10">
        <f t="shared" si="2"/>
        <v>12</v>
      </c>
      <c r="O9" s="5"/>
      <c r="P9" s="5"/>
      <c r="Q9" s="5"/>
      <c r="R9" s="5"/>
      <c r="S9" s="5"/>
      <c r="T9" s="5"/>
      <c r="U9" s="5"/>
      <c r="V9" s="5"/>
      <c r="W9" s="5"/>
      <c r="X9" s="5"/>
      <c r="Y9" s="5"/>
      <c r="Z9" s="5"/>
    </row>
    <row r="10">
      <c r="A10" s="5" t="s">
        <v>48</v>
      </c>
      <c r="B10" s="5" t="s">
        <v>49</v>
      </c>
      <c r="C10" s="5">
        <v>9.0</v>
      </c>
      <c r="D10" s="5" t="s">
        <v>38</v>
      </c>
      <c r="E10" s="9">
        <v>56.0</v>
      </c>
      <c r="F10" s="9">
        <v>72.0</v>
      </c>
      <c r="G10" s="9">
        <v>94.0</v>
      </c>
      <c r="H10" s="9">
        <v>96.0</v>
      </c>
      <c r="I10" s="10">
        <v>4.6</v>
      </c>
      <c r="J10" s="10">
        <v>3.1</v>
      </c>
      <c r="K10" s="10">
        <v>1.0</v>
      </c>
      <c r="L10" s="10" t="s">
        <v>35</v>
      </c>
      <c r="M10" s="10" t="str">
        <f t="shared" si="1"/>
        <v>Yes</v>
      </c>
      <c r="N10" s="10">
        <f t="shared" si="2"/>
        <v>16</v>
      </c>
      <c r="O10" s="5"/>
      <c r="P10" s="5"/>
      <c r="Q10" s="5"/>
      <c r="R10" s="5"/>
      <c r="S10" s="5"/>
      <c r="T10" s="5"/>
      <c r="U10" s="5"/>
      <c r="V10" s="5"/>
      <c r="W10" s="5"/>
      <c r="X10" s="5"/>
      <c r="Y10" s="5"/>
      <c r="Z10" s="5"/>
    </row>
    <row r="11">
      <c r="A11" s="5" t="s">
        <v>50</v>
      </c>
      <c r="B11" s="5" t="s">
        <v>51</v>
      </c>
      <c r="C11" s="5">
        <v>8.0</v>
      </c>
      <c r="D11" s="5" t="s">
        <v>34</v>
      </c>
      <c r="E11" s="9">
        <v>48.0</v>
      </c>
      <c r="F11" s="9">
        <v>63.0</v>
      </c>
      <c r="G11" s="9">
        <v>86.0</v>
      </c>
      <c r="H11" s="9">
        <v>100.0</v>
      </c>
      <c r="I11" s="10">
        <v>3.4</v>
      </c>
      <c r="J11" s="10">
        <v>2.6</v>
      </c>
      <c r="K11" s="10">
        <v>1.0</v>
      </c>
      <c r="L11" s="10" t="s">
        <v>35</v>
      </c>
      <c r="M11" s="10" t="str">
        <f t="shared" si="1"/>
        <v>Yes</v>
      </c>
      <c r="N11" s="10">
        <f t="shared" si="2"/>
        <v>15</v>
      </c>
      <c r="O11" s="5"/>
      <c r="P11" s="5"/>
      <c r="Q11" s="5"/>
      <c r="R11" s="5"/>
      <c r="S11" s="5"/>
      <c r="T11" s="5"/>
      <c r="U11" s="5"/>
      <c r="V11" s="5"/>
      <c r="W11" s="5"/>
      <c r="X11" s="5"/>
      <c r="Y11" s="5"/>
      <c r="Z11" s="5"/>
    </row>
    <row r="12">
      <c r="A12" s="5" t="s">
        <v>52</v>
      </c>
      <c r="B12" s="5" t="s">
        <v>53</v>
      </c>
      <c r="C12" s="5">
        <v>10.0</v>
      </c>
      <c r="D12" s="5" t="s">
        <v>38</v>
      </c>
      <c r="E12" s="9">
        <v>60.0</v>
      </c>
      <c r="F12" s="9">
        <v>66.0</v>
      </c>
      <c r="G12" s="9">
        <v>90.0</v>
      </c>
      <c r="H12" s="9">
        <v>98.0</v>
      </c>
      <c r="I12" s="10">
        <v>4.5</v>
      </c>
      <c r="J12" s="10">
        <v>2.8</v>
      </c>
      <c r="K12" s="10">
        <v>1.0</v>
      </c>
      <c r="L12" s="10" t="s">
        <v>35</v>
      </c>
      <c r="M12" s="10" t="str">
        <f t="shared" si="1"/>
        <v>No</v>
      </c>
      <c r="N12" s="10">
        <f t="shared" si="2"/>
        <v>6</v>
      </c>
      <c r="O12" s="5"/>
      <c r="P12" s="5"/>
      <c r="Q12" s="5"/>
      <c r="R12" s="5"/>
      <c r="S12" s="5"/>
      <c r="T12" s="5"/>
      <c r="U12" s="5"/>
      <c r="V12" s="5"/>
      <c r="W12" s="5"/>
      <c r="X12" s="5"/>
      <c r="Y12" s="5"/>
      <c r="Z12" s="5"/>
    </row>
    <row r="13">
      <c r="A13" s="5" t="s">
        <v>54</v>
      </c>
      <c r="B13" s="5" t="s">
        <v>55</v>
      </c>
      <c r="C13" s="5">
        <v>9.0</v>
      </c>
      <c r="D13" s="5" t="s">
        <v>34</v>
      </c>
      <c r="E13" s="9">
        <v>56.0</v>
      </c>
      <c r="F13" s="9">
        <v>65.0</v>
      </c>
      <c r="G13" s="9">
        <v>94.0</v>
      </c>
      <c r="H13" s="9">
        <v>98.0</v>
      </c>
      <c r="I13" s="10">
        <v>2.9</v>
      </c>
      <c r="J13" s="10">
        <v>3.6</v>
      </c>
      <c r="K13" s="10">
        <v>2.0</v>
      </c>
      <c r="L13" s="10" t="s">
        <v>35</v>
      </c>
      <c r="M13" s="10" t="str">
        <f t="shared" si="1"/>
        <v>No</v>
      </c>
      <c r="N13" s="10">
        <f t="shared" si="2"/>
        <v>9</v>
      </c>
      <c r="O13" s="5"/>
      <c r="P13" s="5"/>
      <c r="Q13" s="5"/>
      <c r="R13" s="5"/>
      <c r="S13" s="5"/>
      <c r="T13" s="5"/>
      <c r="U13" s="5"/>
      <c r="V13" s="5"/>
      <c r="W13" s="5"/>
      <c r="X13" s="5"/>
      <c r="Y13" s="5"/>
      <c r="Z13" s="5"/>
    </row>
    <row r="14">
      <c r="A14" s="5" t="s">
        <v>56</v>
      </c>
      <c r="B14" s="5" t="s">
        <v>57</v>
      </c>
      <c r="C14" s="5">
        <v>8.0</v>
      </c>
      <c r="D14" s="5" t="s">
        <v>38</v>
      </c>
      <c r="E14" s="9">
        <v>52.0</v>
      </c>
      <c r="F14" s="9">
        <v>59.0</v>
      </c>
      <c r="G14" s="9">
        <v>90.0</v>
      </c>
      <c r="H14" s="9">
        <v>92.0</v>
      </c>
      <c r="I14" s="10">
        <v>4.8</v>
      </c>
      <c r="J14" s="10">
        <v>3.6</v>
      </c>
      <c r="K14" s="10">
        <v>2.0</v>
      </c>
      <c r="L14" s="10" t="s">
        <v>35</v>
      </c>
      <c r="M14" s="10" t="str">
        <f t="shared" si="1"/>
        <v>No</v>
      </c>
      <c r="N14" s="10">
        <f t="shared" si="2"/>
        <v>7</v>
      </c>
      <c r="O14" s="5"/>
      <c r="P14" s="5"/>
      <c r="Q14" s="5"/>
      <c r="R14" s="5"/>
      <c r="S14" s="5"/>
      <c r="T14" s="5"/>
      <c r="U14" s="5"/>
      <c r="V14" s="5"/>
      <c r="W14" s="5"/>
      <c r="X14" s="5"/>
      <c r="Y14" s="5"/>
      <c r="Z14" s="5"/>
    </row>
    <row r="15">
      <c r="A15" s="5" t="s">
        <v>58</v>
      </c>
      <c r="B15" s="5" t="s">
        <v>59</v>
      </c>
      <c r="C15" s="5">
        <v>9.0</v>
      </c>
      <c r="D15" s="5" t="s">
        <v>34</v>
      </c>
      <c r="E15" s="9">
        <v>58.0</v>
      </c>
      <c r="F15" s="9">
        <v>62.0</v>
      </c>
      <c r="G15" s="9">
        <v>86.0</v>
      </c>
      <c r="H15" s="9">
        <v>100.0</v>
      </c>
      <c r="I15" s="10">
        <v>2.9</v>
      </c>
      <c r="J15" s="10">
        <v>3.0</v>
      </c>
      <c r="K15" s="10">
        <v>1.0</v>
      </c>
      <c r="L15" s="10" t="s">
        <v>47</v>
      </c>
      <c r="M15" s="10" t="str">
        <f t="shared" si="1"/>
        <v>No</v>
      </c>
      <c r="N15" s="10">
        <f t="shared" si="2"/>
        <v>4</v>
      </c>
      <c r="O15" s="5"/>
      <c r="P15" s="5"/>
      <c r="Q15" s="5"/>
      <c r="R15" s="5"/>
      <c r="S15" s="5"/>
      <c r="T15" s="5"/>
      <c r="U15" s="5"/>
      <c r="V15" s="5"/>
      <c r="W15" s="5"/>
      <c r="X15" s="5"/>
      <c r="Y15" s="5"/>
      <c r="Z15" s="5"/>
    </row>
    <row r="16">
      <c r="A16" s="5" t="s">
        <v>60</v>
      </c>
      <c r="B16" s="5" t="s">
        <v>61</v>
      </c>
      <c r="C16" s="5">
        <v>10.0</v>
      </c>
      <c r="D16" s="5" t="s">
        <v>34</v>
      </c>
      <c r="E16" s="9">
        <v>66.0</v>
      </c>
      <c r="F16" s="9">
        <v>75.0</v>
      </c>
      <c r="G16" s="9">
        <v>88.0</v>
      </c>
      <c r="H16" s="9">
        <v>90.0</v>
      </c>
      <c r="I16" s="10">
        <v>4.1</v>
      </c>
      <c r="J16" s="10">
        <v>3.2</v>
      </c>
      <c r="K16" s="10">
        <v>3.0</v>
      </c>
      <c r="L16" s="10" t="s">
        <v>35</v>
      </c>
      <c r="M16" s="10" t="str">
        <f t="shared" si="1"/>
        <v>No</v>
      </c>
      <c r="N16" s="10">
        <f t="shared" si="2"/>
        <v>9</v>
      </c>
      <c r="O16" s="5"/>
      <c r="P16" s="5"/>
      <c r="Q16" s="5"/>
      <c r="R16" s="5"/>
      <c r="S16" s="5"/>
      <c r="T16" s="5"/>
      <c r="U16" s="5"/>
      <c r="V16" s="5"/>
      <c r="W16" s="5"/>
      <c r="X16" s="5"/>
      <c r="Y16" s="5"/>
      <c r="Z16" s="5"/>
    </row>
    <row r="17">
      <c r="A17" s="5" t="s">
        <v>62</v>
      </c>
      <c r="B17" s="5" t="s">
        <v>63</v>
      </c>
      <c r="C17" s="5">
        <v>8.0</v>
      </c>
      <c r="D17" s="5" t="s">
        <v>38</v>
      </c>
      <c r="E17" s="9">
        <v>56.0</v>
      </c>
      <c r="F17" s="9">
        <v>61.0</v>
      </c>
      <c r="G17" s="9">
        <v>86.0</v>
      </c>
      <c r="H17" s="9">
        <v>98.0</v>
      </c>
      <c r="I17" s="10">
        <v>3.9</v>
      </c>
      <c r="J17" s="10">
        <v>2.9</v>
      </c>
      <c r="K17" s="10">
        <v>2.0</v>
      </c>
      <c r="L17" s="10" t="s">
        <v>35</v>
      </c>
      <c r="M17" s="10" t="str">
        <f t="shared" si="1"/>
        <v>No</v>
      </c>
      <c r="N17" s="10">
        <f t="shared" si="2"/>
        <v>5</v>
      </c>
      <c r="O17" s="5"/>
      <c r="P17" s="5"/>
      <c r="Q17" s="5"/>
      <c r="R17" s="5"/>
      <c r="S17" s="5"/>
      <c r="T17" s="5"/>
      <c r="U17" s="5"/>
      <c r="V17" s="5"/>
      <c r="W17" s="5"/>
      <c r="X17" s="5"/>
      <c r="Y17" s="5"/>
      <c r="Z17" s="5"/>
    </row>
    <row r="18">
      <c r="A18" s="5" t="s">
        <v>64</v>
      </c>
      <c r="B18" s="5" t="s">
        <v>65</v>
      </c>
      <c r="C18" s="5">
        <v>9.0</v>
      </c>
      <c r="D18" s="5" t="s">
        <v>34</v>
      </c>
      <c r="E18" s="9">
        <v>66.0</v>
      </c>
      <c r="F18" s="9">
        <v>73.0</v>
      </c>
      <c r="G18" s="9">
        <v>88.0</v>
      </c>
      <c r="H18" s="9">
        <v>90.0</v>
      </c>
      <c r="I18" s="10">
        <v>4.8</v>
      </c>
      <c r="J18" s="10">
        <v>2.7</v>
      </c>
      <c r="K18" s="10">
        <v>2.0</v>
      </c>
      <c r="L18" s="10" t="s">
        <v>47</v>
      </c>
      <c r="M18" s="10" t="str">
        <f t="shared" si="1"/>
        <v>No</v>
      </c>
      <c r="N18" s="10">
        <f t="shared" si="2"/>
        <v>7</v>
      </c>
      <c r="O18" s="5"/>
      <c r="P18" s="5"/>
      <c r="Q18" s="5"/>
      <c r="R18" s="5"/>
      <c r="S18" s="5"/>
      <c r="T18" s="5"/>
      <c r="U18" s="5"/>
      <c r="V18" s="5"/>
      <c r="W18" s="5"/>
      <c r="X18" s="5"/>
      <c r="Y18" s="5"/>
      <c r="Z18" s="5"/>
    </row>
    <row r="19">
      <c r="A19" s="5" t="s">
        <v>66</v>
      </c>
      <c r="B19" s="5" t="s">
        <v>67</v>
      </c>
      <c r="C19" s="5">
        <v>10.0</v>
      </c>
      <c r="D19" s="5" t="s">
        <v>38</v>
      </c>
      <c r="E19" s="9">
        <v>48.0</v>
      </c>
      <c r="F19" s="9">
        <v>52.0</v>
      </c>
      <c r="G19" s="9">
        <v>86.0</v>
      </c>
      <c r="H19" s="9">
        <v>98.0</v>
      </c>
      <c r="I19" s="10">
        <v>3.1</v>
      </c>
      <c r="J19" s="10">
        <v>3.7</v>
      </c>
      <c r="K19" s="10">
        <v>2.0</v>
      </c>
      <c r="L19" s="10" t="s">
        <v>47</v>
      </c>
      <c r="M19" s="10" t="str">
        <f t="shared" si="1"/>
        <v>No</v>
      </c>
      <c r="N19" s="10">
        <f t="shared" si="2"/>
        <v>4</v>
      </c>
      <c r="O19" s="5"/>
      <c r="P19" s="5"/>
      <c r="Q19" s="5"/>
      <c r="R19" s="5"/>
      <c r="S19" s="5"/>
      <c r="T19" s="5"/>
      <c r="U19" s="5"/>
      <c r="V19" s="5"/>
      <c r="W19" s="5"/>
      <c r="X19" s="5"/>
      <c r="Y19" s="5"/>
      <c r="Z19" s="5"/>
    </row>
    <row r="20">
      <c r="A20" s="5" t="s">
        <v>68</v>
      </c>
      <c r="B20" s="5" t="s">
        <v>69</v>
      </c>
      <c r="C20" s="5">
        <v>8.0</v>
      </c>
      <c r="D20" s="5" t="s">
        <v>34</v>
      </c>
      <c r="E20" s="9">
        <v>60.0</v>
      </c>
      <c r="F20" s="9">
        <v>68.0</v>
      </c>
      <c r="G20" s="9">
        <v>90.0</v>
      </c>
      <c r="H20" s="9">
        <v>96.0</v>
      </c>
      <c r="I20" s="10">
        <v>3.3</v>
      </c>
      <c r="J20" s="10">
        <v>3.4</v>
      </c>
      <c r="K20" s="10">
        <v>0.0</v>
      </c>
      <c r="L20" s="10" t="s">
        <v>35</v>
      </c>
      <c r="M20" s="10" t="str">
        <f t="shared" si="1"/>
        <v>No</v>
      </c>
      <c r="N20" s="10">
        <f t="shared" si="2"/>
        <v>8</v>
      </c>
      <c r="O20" s="5"/>
      <c r="P20" s="5"/>
      <c r="Q20" s="5"/>
      <c r="R20" s="5"/>
      <c r="S20" s="5"/>
      <c r="T20" s="5"/>
      <c r="U20" s="5"/>
      <c r="V20" s="5"/>
      <c r="W20" s="5"/>
      <c r="X20" s="5"/>
      <c r="Y20" s="5"/>
      <c r="Z20" s="5"/>
    </row>
    <row r="21" ht="15.75" customHeight="1">
      <c r="A21" s="5" t="s">
        <v>70</v>
      </c>
      <c r="B21" s="5" t="s">
        <v>71</v>
      </c>
      <c r="C21" s="5">
        <v>9.0</v>
      </c>
      <c r="D21" s="5" t="s">
        <v>34</v>
      </c>
      <c r="E21" s="9">
        <v>50.0</v>
      </c>
      <c r="F21" s="9">
        <v>59.0</v>
      </c>
      <c r="G21" s="9">
        <v>92.0</v>
      </c>
      <c r="H21" s="9">
        <v>100.0</v>
      </c>
      <c r="I21" s="10">
        <v>3.3</v>
      </c>
      <c r="J21" s="10">
        <v>3.6</v>
      </c>
      <c r="K21" s="10">
        <v>0.0</v>
      </c>
      <c r="L21" s="10" t="s">
        <v>35</v>
      </c>
      <c r="M21" s="10" t="str">
        <f t="shared" si="1"/>
        <v>No</v>
      </c>
      <c r="N21" s="10">
        <f t="shared" si="2"/>
        <v>9</v>
      </c>
      <c r="O21" s="5"/>
      <c r="P21" s="5"/>
      <c r="Q21" s="5"/>
      <c r="R21" s="5"/>
      <c r="S21" s="5"/>
      <c r="T21" s="5"/>
      <c r="U21" s="5"/>
      <c r="V21" s="5"/>
      <c r="W21" s="5"/>
      <c r="X21" s="5"/>
      <c r="Y21" s="5"/>
      <c r="Z21" s="5"/>
    </row>
    <row r="22" ht="15.75" customHeight="1">
      <c r="A22" s="5" t="s">
        <v>72</v>
      </c>
      <c r="B22" s="5" t="s">
        <v>73</v>
      </c>
      <c r="C22" s="5">
        <v>10.0</v>
      </c>
      <c r="D22" s="5" t="s">
        <v>38</v>
      </c>
      <c r="E22" s="9">
        <v>52.0</v>
      </c>
      <c r="F22" s="9">
        <v>59.0</v>
      </c>
      <c r="G22" s="9">
        <v>84.0</v>
      </c>
      <c r="H22" s="9">
        <v>98.0</v>
      </c>
      <c r="I22" s="10">
        <v>4.6</v>
      </c>
      <c r="J22" s="10">
        <v>2.9</v>
      </c>
      <c r="K22" s="10">
        <v>2.0</v>
      </c>
      <c r="L22" s="10" t="s">
        <v>35</v>
      </c>
      <c r="M22" s="10" t="str">
        <f t="shared" si="1"/>
        <v>No</v>
      </c>
      <c r="N22" s="10">
        <f t="shared" si="2"/>
        <v>7</v>
      </c>
      <c r="O22" s="5"/>
      <c r="P22" s="5"/>
      <c r="Q22" s="5"/>
      <c r="R22" s="5"/>
      <c r="S22" s="5"/>
      <c r="T22" s="5"/>
      <c r="U22" s="5"/>
      <c r="V22" s="5"/>
      <c r="W22" s="5"/>
      <c r="X22" s="5"/>
      <c r="Y22" s="5"/>
      <c r="Z22" s="5"/>
    </row>
    <row r="23" ht="15.75" customHeight="1">
      <c r="A23" s="5" t="s">
        <v>74</v>
      </c>
      <c r="B23" s="5" t="s">
        <v>75</v>
      </c>
      <c r="C23" s="5">
        <v>8.0</v>
      </c>
      <c r="D23" s="5" t="s">
        <v>34</v>
      </c>
      <c r="E23" s="9">
        <v>64.0</v>
      </c>
      <c r="F23" s="9">
        <v>68.0</v>
      </c>
      <c r="G23" s="9">
        <v>96.0</v>
      </c>
      <c r="H23" s="9">
        <v>98.0</v>
      </c>
      <c r="I23" s="10">
        <v>3.4</v>
      </c>
      <c r="J23" s="10">
        <v>3.6</v>
      </c>
      <c r="K23" s="10">
        <v>2.0</v>
      </c>
      <c r="L23" s="10" t="s">
        <v>35</v>
      </c>
      <c r="M23" s="10" t="str">
        <f t="shared" si="1"/>
        <v>No</v>
      </c>
      <c r="N23" s="10">
        <f t="shared" si="2"/>
        <v>4</v>
      </c>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11" t="s">
        <v>76</v>
      </c>
      <c r="O25" s="5"/>
      <c r="P25" s="5"/>
      <c r="Q25" s="5"/>
      <c r="R25" s="5"/>
      <c r="S25" s="5"/>
      <c r="T25" s="5"/>
      <c r="U25" s="5"/>
      <c r="V25" s="5"/>
      <c r="W25" s="5"/>
      <c r="X25" s="5"/>
      <c r="Y25" s="5"/>
      <c r="Z25" s="5"/>
    </row>
    <row r="26" ht="15.75" customHeight="1">
      <c r="O26" s="5"/>
      <c r="P26" s="5"/>
      <c r="Q26" s="5"/>
      <c r="R26" s="5"/>
      <c r="S26" s="5"/>
      <c r="T26" s="5"/>
      <c r="U26" s="5"/>
      <c r="V26" s="5"/>
      <c r="W26" s="5"/>
      <c r="X26" s="5"/>
      <c r="Y26" s="5"/>
      <c r="Z26" s="5"/>
    </row>
    <row r="27" ht="15.75" customHeight="1">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
    <mergeCell ref="A1:N1"/>
    <mergeCell ref="A25:N2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0"/>
    <col customWidth="1" min="2" max="2" width="10.0"/>
    <col customWidth="1" min="3" max="3" width="26.0"/>
    <col customWidth="1" min="4" max="4" width="20.0"/>
    <col customWidth="1" min="5" max="26" width="8.63"/>
  </cols>
  <sheetData>
    <row r="1">
      <c r="A1" s="8" t="s">
        <v>77</v>
      </c>
      <c r="E1" s="5"/>
      <c r="F1" s="5"/>
      <c r="G1" s="5"/>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4" t="s">
        <v>78</v>
      </c>
      <c r="B3" s="4" t="s">
        <v>79</v>
      </c>
      <c r="C3" s="4" t="s">
        <v>80</v>
      </c>
      <c r="D3" s="4" t="s">
        <v>81</v>
      </c>
      <c r="E3" s="5"/>
      <c r="F3" s="5"/>
      <c r="G3" s="5"/>
      <c r="H3" s="5"/>
      <c r="I3" s="5"/>
      <c r="J3" s="5"/>
      <c r="K3" s="5"/>
      <c r="L3" s="5"/>
      <c r="M3" s="5"/>
      <c r="N3" s="5"/>
      <c r="O3" s="5"/>
      <c r="P3" s="5"/>
      <c r="Q3" s="5"/>
      <c r="R3" s="5"/>
      <c r="S3" s="5"/>
      <c r="T3" s="5"/>
      <c r="U3" s="5"/>
      <c r="V3" s="5"/>
      <c r="W3" s="5"/>
      <c r="X3" s="5"/>
      <c r="Y3" s="5"/>
      <c r="Z3" s="5"/>
    </row>
    <row r="4">
      <c r="A4" s="5">
        <v>0.0</v>
      </c>
      <c r="B4" s="5">
        <v>72.0</v>
      </c>
      <c r="C4" s="5" t="s">
        <v>82</v>
      </c>
      <c r="D4" s="5" t="s">
        <v>83</v>
      </c>
      <c r="E4" s="5"/>
      <c r="F4" s="5"/>
      <c r="G4" s="5"/>
      <c r="H4" s="5"/>
      <c r="I4" s="5"/>
      <c r="J4" s="5"/>
      <c r="K4" s="5"/>
      <c r="L4" s="5"/>
      <c r="M4" s="5"/>
      <c r="N4" s="5"/>
      <c r="O4" s="5"/>
      <c r="P4" s="5"/>
      <c r="Q4" s="5"/>
      <c r="R4" s="5"/>
      <c r="S4" s="5"/>
      <c r="T4" s="5"/>
      <c r="U4" s="5"/>
      <c r="V4" s="5"/>
      <c r="W4" s="5"/>
      <c r="X4" s="5"/>
      <c r="Y4" s="5"/>
      <c r="Z4" s="5"/>
    </row>
    <row r="5">
      <c r="A5" s="5">
        <v>5.0</v>
      </c>
      <c r="B5" s="5">
        <v>71.0</v>
      </c>
      <c r="C5" s="5" t="s">
        <v>82</v>
      </c>
      <c r="D5" s="5" t="s">
        <v>83</v>
      </c>
      <c r="E5" s="5"/>
      <c r="F5" s="5"/>
      <c r="G5" s="5"/>
      <c r="H5" s="5"/>
      <c r="I5" s="5"/>
      <c r="J5" s="5"/>
      <c r="K5" s="5"/>
      <c r="L5" s="5"/>
      <c r="M5" s="5"/>
      <c r="N5" s="5"/>
      <c r="O5" s="5"/>
      <c r="P5" s="5"/>
      <c r="Q5" s="5"/>
      <c r="R5" s="5"/>
      <c r="S5" s="5"/>
      <c r="T5" s="5"/>
      <c r="U5" s="5"/>
      <c r="V5" s="5"/>
      <c r="W5" s="5"/>
      <c r="X5" s="5"/>
      <c r="Y5" s="5"/>
      <c r="Z5" s="5"/>
    </row>
    <row r="6">
      <c r="A6" s="5">
        <v>10.0</v>
      </c>
      <c r="B6" s="5">
        <v>72.0</v>
      </c>
      <c r="C6" s="5" t="s">
        <v>82</v>
      </c>
      <c r="D6" s="5" t="s">
        <v>83</v>
      </c>
      <c r="E6" s="5"/>
      <c r="F6" s="5"/>
      <c r="G6" s="5"/>
      <c r="H6" s="5"/>
      <c r="I6" s="5"/>
      <c r="J6" s="5"/>
      <c r="K6" s="5"/>
      <c r="L6" s="5"/>
      <c r="M6" s="5"/>
      <c r="N6" s="5"/>
      <c r="O6" s="5"/>
      <c r="P6" s="5"/>
      <c r="Q6" s="5"/>
      <c r="R6" s="5"/>
      <c r="S6" s="5"/>
      <c r="T6" s="5"/>
      <c r="U6" s="5"/>
      <c r="V6" s="5"/>
      <c r="W6" s="5"/>
      <c r="X6" s="5"/>
      <c r="Y6" s="5"/>
      <c r="Z6" s="5"/>
    </row>
    <row r="7">
      <c r="A7" s="5">
        <v>15.0</v>
      </c>
      <c r="B7" s="5">
        <v>72.0</v>
      </c>
      <c r="C7" s="5" t="s">
        <v>84</v>
      </c>
      <c r="D7" s="5" t="s">
        <v>83</v>
      </c>
      <c r="E7" s="5"/>
      <c r="F7" s="5"/>
      <c r="G7" s="5"/>
      <c r="H7" s="5"/>
      <c r="I7" s="5"/>
      <c r="J7" s="5"/>
      <c r="K7" s="5"/>
      <c r="L7" s="5"/>
      <c r="M7" s="5"/>
      <c r="N7" s="5"/>
      <c r="O7" s="5"/>
      <c r="P7" s="5"/>
      <c r="Q7" s="5"/>
      <c r="R7" s="5"/>
      <c r="S7" s="5"/>
      <c r="T7" s="5"/>
      <c r="U7" s="5"/>
      <c r="V7" s="5"/>
      <c r="W7" s="5"/>
      <c r="X7" s="5"/>
      <c r="Y7" s="5"/>
      <c r="Z7" s="5"/>
    </row>
    <row r="8">
      <c r="A8" s="5">
        <v>20.0</v>
      </c>
      <c r="B8" s="5">
        <v>73.0</v>
      </c>
      <c r="C8" s="5" t="s">
        <v>84</v>
      </c>
      <c r="D8" s="5" t="s">
        <v>83</v>
      </c>
      <c r="E8" s="5"/>
      <c r="F8" s="5"/>
      <c r="G8" s="5"/>
      <c r="H8" s="5"/>
      <c r="I8" s="5"/>
      <c r="J8" s="5"/>
      <c r="K8" s="5"/>
      <c r="L8" s="5"/>
      <c r="M8" s="5"/>
      <c r="N8" s="5"/>
      <c r="O8" s="5"/>
      <c r="P8" s="5"/>
      <c r="Q8" s="5"/>
      <c r="R8" s="5"/>
      <c r="S8" s="5"/>
      <c r="T8" s="5"/>
      <c r="U8" s="5"/>
      <c r="V8" s="5"/>
      <c r="W8" s="5"/>
      <c r="X8" s="5"/>
      <c r="Y8" s="5"/>
      <c r="Z8" s="5"/>
    </row>
    <row r="9">
      <c r="A9" s="5">
        <v>25.0</v>
      </c>
      <c r="B9" s="5">
        <v>72.0</v>
      </c>
      <c r="C9" s="5" t="s">
        <v>84</v>
      </c>
      <c r="D9" s="5" t="s">
        <v>83</v>
      </c>
      <c r="E9" s="5"/>
      <c r="F9" s="5"/>
      <c r="G9" s="5"/>
      <c r="H9" s="5"/>
      <c r="I9" s="5"/>
      <c r="J9" s="5"/>
      <c r="K9" s="5"/>
      <c r="L9" s="5"/>
      <c r="M9" s="5"/>
      <c r="N9" s="5"/>
      <c r="O9" s="5"/>
      <c r="P9" s="5"/>
      <c r="Q9" s="5"/>
      <c r="R9" s="5"/>
      <c r="S9" s="5"/>
      <c r="T9" s="5"/>
      <c r="U9" s="5"/>
      <c r="V9" s="5"/>
      <c r="W9" s="5"/>
      <c r="X9" s="5"/>
      <c r="Y9" s="5"/>
      <c r="Z9" s="5"/>
    </row>
    <row r="10">
      <c r="A10" s="5">
        <v>30.0</v>
      </c>
      <c r="B10" s="5">
        <v>72.0</v>
      </c>
      <c r="C10" s="5" t="s">
        <v>84</v>
      </c>
      <c r="D10" s="5" t="s">
        <v>83</v>
      </c>
      <c r="E10" s="5"/>
      <c r="F10" s="5"/>
      <c r="G10" s="5"/>
      <c r="H10" s="5"/>
      <c r="I10" s="5"/>
      <c r="J10" s="5"/>
      <c r="K10" s="5"/>
      <c r="L10" s="5"/>
      <c r="M10" s="5"/>
      <c r="N10" s="5"/>
      <c r="O10" s="5"/>
      <c r="P10" s="5"/>
      <c r="Q10" s="5"/>
      <c r="R10" s="5"/>
      <c r="S10" s="5"/>
      <c r="T10" s="5"/>
      <c r="U10" s="5"/>
      <c r="V10" s="5"/>
      <c r="W10" s="5"/>
      <c r="X10" s="5"/>
      <c r="Y10" s="5"/>
      <c r="Z10" s="5"/>
    </row>
    <row r="11">
      <c r="A11" s="5">
        <v>35.0</v>
      </c>
      <c r="B11" s="5">
        <v>71.0</v>
      </c>
      <c r="C11" s="5" t="s">
        <v>84</v>
      </c>
      <c r="D11" s="5" t="s">
        <v>83</v>
      </c>
      <c r="E11" s="5"/>
      <c r="F11" s="5"/>
      <c r="G11" s="5"/>
      <c r="H11" s="5"/>
      <c r="I11" s="5"/>
      <c r="J11" s="5"/>
      <c r="K11" s="5"/>
      <c r="L11" s="5"/>
      <c r="M11" s="5"/>
      <c r="N11" s="5"/>
      <c r="O11" s="5"/>
      <c r="P11" s="5"/>
      <c r="Q11" s="5"/>
      <c r="R11" s="5"/>
      <c r="S11" s="5"/>
      <c r="T11" s="5"/>
      <c r="U11" s="5"/>
      <c r="V11" s="5"/>
      <c r="W11" s="5"/>
      <c r="X11" s="5"/>
      <c r="Y11" s="5"/>
      <c r="Z11" s="5"/>
    </row>
    <row r="12">
      <c r="A12" s="5">
        <v>40.0</v>
      </c>
      <c r="B12" s="5">
        <v>72.0</v>
      </c>
      <c r="C12" s="5" t="s">
        <v>84</v>
      </c>
      <c r="D12" s="5" t="s">
        <v>83</v>
      </c>
      <c r="E12" s="5"/>
      <c r="F12" s="5"/>
      <c r="G12" s="5"/>
      <c r="H12" s="5"/>
      <c r="I12" s="5"/>
      <c r="J12" s="5"/>
      <c r="K12" s="5"/>
      <c r="L12" s="5"/>
      <c r="M12" s="5"/>
      <c r="N12" s="5"/>
      <c r="O12" s="5"/>
      <c r="P12" s="5"/>
      <c r="Q12" s="5"/>
      <c r="R12" s="5"/>
      <c r="S12" s="5"/>
      <c r="T12" s="5"/>
      <c r="U12" s="5"/>
      <c r="V12" s="5"/>
      <c r="W12" s="5"/>
      <c r="X12" s="5"/>
      <c r="Y12" s="5"/>
      <c r="Z12" s="5"/>
    </row>
    <row r="13">
      <c r="A13" s="5">
        <v>45.0</v>
      </c>
      <c r="B13" s="5">
        <v>72.0</v>
      </c>
      <c r="C13" s="5" t="s">
        <v>85</v>
      </c>
      <c r="D13" s="5" t="s">
        <v>83</v>
      </c>
      <c r="E13" s="5"/>
      <c r="F13" s="5"/>
      <c r="G13" s="5"/>
      <c r="H13" s="5"/>
      <c r="I13" s="5"/>
      <c r="J13" s="5"/>
      <c r="K13" s="5"/>
      <c r="L13" s="5"/>
      <c r="M13" s="5"/>
      <c r="N13" s="5"/>
      <c r="O13" s="5"/>
      <c r="P13" s="5"/>
      <c r="Q13" s="5"/>
      <c r="R13" s="5"/>
      <c r="S13" s="5"/>
      <c r="T13" s="5"/>
      <c r="U13" s="5"/>
      <c r="V13" s="5"/>
      <c r="W13" s="5"/>
      <c r="X13" s="5"/>
      <c r="Y13" s="5"/>
      <c r="Z13" s="5"/>
    </row>
    <row r="14">
      <c r="A14" s="5">
        <v>50.0</v>
      </c>
      <c r="B14" s="5">
        <v>73.0</v>
      </c>
      <c r="C14" s="5" t="s">
        <v>85</v>
      </c>
      <c r="D14" s="5" t="s">
        <v>83</v>
      </c>
      <c r="E14" s="5"/>
      <c r="F14" s="5"/>
      <c r="G14" s="5"/>
      <c r="H14" s="5"/>
      <c r="I14" s="5"/>
      <c r="J14" s="5"/>
      <c r="K14" s="5"/>
      <c r="L14" s="5"/>
      <c r="M14" s="5"/>
      <c r="N14" s="5"/>
      <c r="O14" s="5"/>
      <c r="P14" s="5"/>
      <c r="Q14" s="5"/>
      <c r="R14" s="5"/>
      <c r="S14" s="5"/>
      <c r="T14" s="5"/>
      <c r="U14" s="5"/>
      <c r="V14" s="5"/>
      <c r="W14" s="5"/>
      <c r="X14" s="5"/>
      <c r="Y14" s="5"/>
      <c r="Z14" s="5"/>
    </row>
    <row r="15">
      <c r="A15" s="5">
        <v>55.0</v>
      </c>
      <c r="B15" s="5">
        <v>72.0</v>
      </c>
      <c r="C15" s="5" t="s">
        <v>85</v>
      </c>
      <c r="D15" s="5" t="s">
        <v>83</v>
      </c>
      <c r="E15" s="5"/>
      <c r="F15" s="5"/>
      <c r="G15" s="5"/>
      <c r="H15" s="5"/>
      <c r="I15" s="5"/>
      <c r="J15" s="5"/>
      <c r="K15" s="5"/>
      <c r="L15" s="5"/>
      <c r="M15" s="5"/>
      <c r="N15" s="5"/>
      <c r="O15" s="5"/>
      <c r="P15" s="5"/>
      <c r="Q15" s="5"/>
      <c r="R15" s="5"/>
      <c r="S15" s="5"/>
      <c r="T15" s="5"/>
      <c r="U15" s="5"/>
      <c r="V15" s="5"/>
      <c r="W15" s="5"/>
      <c r="X15" s="5"/>
      <c r="Y15" s="5"/>
      <c r="Z15" s="5"/>
    </row>
    <row r="16">
      <c r="A16" s="5">
        <v>60.0</v>
      </c>
      <c r="B16" s="5">
        <v>71.0</v>
      </c>
      <c r="C16" s="5" t="s">
        <v>85</v>
      </c>
      <c r="D16" s="5" t="s">
        <v>83</v>
      </c>
      <c r="E16" s="5"/>
      <c r="F16" s="5"/>
      <c r="G16" s="5"/>
      <c r="H16" s="5"/>
      <c r="I16" s="5"/>
      <c r="J16" s="5"/>
      <c r="K16" s="5"/>
      <c r="L16" s="5"/>
      <c r="M16" s="5"/>
      <c r="N16" s="5"/>
      <c r="O16" s="5"/>
      <c r="P16" s="5"/>
      <c r="Q16" s="5"/>
      <c r="R16" s="5"/>
      <c r="S16" s="5"/>
      <c r="T16" s="5"/>
      <c r="U16" s="5"/>
      <c r="V16" s="5"/>
      <c r="W16" s="5"/>
      <c r="X16" s="5"/>
      <c r="Y16" s="5"/>
      <c r="Z16" s="5"/>
    </row>
    <row r="17">
      <c r="A17" s="5">
        <v>65.0</v>
      </c>
      <c r="B17" s="5">
        <v>72.0</v>
      </c>
      <c r="C17" s="5" t="s">
        <v>85</v>
      </c>
      <c r="D17" s="5" t="s">
        <v>83</v>
      </c>
      <c r="E17" s="5"/>
      <c r="F17" s="5"/>
      <c r="G17" s="5"/>
      <c r="H17" s="5"/>
      <c r="I17" s="5"/>
      <c r="J17" s="5"/>
      <c r="K17" s="5"/>
      <c r="L17" s="5"/>
      <c r="M17" s="5"/>
      <c r="N17" s="5"/>
      <c r="O17" s="5"/>
      <c r="P17" s="5"/>
      <c r="Q17" s="5"/>
      <c r="R17" s="5"/>
      <c r="S17" s="5"/>
      <c r="T17" s="5"/>
      <c r="U17" s="5"/>
      <c r="V17" s="5"/>
      <c r="W17" s="5"/>
      <c r="X17" s="5"/>
      <c r="Y17" s="5"/>
      <c r="Z17" s="5"/>
    </row>
    <row r="18">
      <c r="A18" s="5">
        <v>70.0</v>
      </c>
      <c r="B18" s="5">
        <v>72.0</v>
      </c>
      <c r="C18" s="5" t="s">
        <v>85</v>
      </c>
      <c r="D18" s="5" t="s">
        <v>83</v>
      </c>
      <c r="E18" s="5"/>
      <c r="F18" s="5"/>
      <c r="G18" s="5"/>
      <c r="H18" s="5"/>
      <c r="I18" s="5"/>
      <c r="J18" s="5"/>
      <c r="K18" s="5"/>
      <c r="L18" s="5"/>
      <c r="M18" s="5"/>
      <c r="N18" s="5"/>
      <c r="O18" s="5"/>
      <c r="P18" s="5"/>
      <c r="Q18" s="5"/>
      <c r="R18" s="5"/>
      <c r="S18" s="5"/>
      <c r="T18" s="5"/>
      <c r="U18" s="5"/>
      <c r="V18" s="5"/>
      <c r="W18" s="5"/>
      <c r="X18" s="5"/>
      <c r="Y18" s="5"/>
      <c r="Z18" s="5"/>
    </row>
    <row r="19">
      <c r="A19" s="5">
        <v>75.0</v>
      </c>
      <c r="B19" s="5">
        <v>73.0</v>
      </c>
      <c r="C19" s="5" t="s">
        <v>85</v>
      </c>
      <c r="D19" s="5" t="s">
        <v>83</v>
      </c>
      <c r="E19" s="5"/>
      <c r="F19" s="5"/>
      <c r="G19" s="5"/>
      <c r="H19" s="5"/>
      <c r="I19" s="5"/>
      <c r="J19" s="5"/>
      <c r="K19" s="5"/>
      <c r="L19" s="5"/>
      <c r="M19" s="5"/>
      <c r="N19" s="5"/>
      <c r="O19" s="5"/>
      <c r="P19" s="5"/>
      <c r="Q19" s="5"/>
      <c r="R19" s="5"/>
      <c r="S19" s="5"/>
      <c r="T19" s="5"/>
      <c r="U19" s="5"/>
      <c r="V19" s="5"/>
      <c r="W19" s="5"/>
      <c r="X19" s="5"/>
      <c r="Y19" s="5"/>
      <c r="Z19" s="5"/>
    </row>
    <row r="20">
      <c r="A20" s="5">
        <v>80.0</v>
      </c>
      <c r="B20" s="5">
        <v>72.0</v>
      </c>
      <c r="C20" s="5" t="s">
        <v>86</v>
      </c>
      <c r="D20" s="5" t="s">
        <v>83</v>
      </c>
      <c r="E20" s="5"/>
      <c r="F20" s="5"/>
      <c r="G20" s="5"/>
      <c r="H20" s="5"/>
      <c r="I20" s="5"/>
      <c r="J20" s="5"/>
      <c r="K20" s="5"/>
      <c r="L20" s="5"/>
      <c r="M20" s="5"/>
      <c r="N20" s="5"/>
      <c r="O20" s="5"/>
      <c r="P20" s="5"/>
      <c r="Q20" s="5"/>
      <c r="R20" s="5"/>
      <c r="S20" s="5"/>
      <c r="T20" s="5"/>
      <c r="U20" s="5"/>
      <c r="V20" s="5"/>
      <c r="W20" s="5"/>
      <c r="X20" s="5"/>
      <c r="Y20" s="5"/>
      <c r="Z20" s="5"/>
    </row>
    <row r="21" ht="15.75" customHeight="1">
      <c r="A21" s="5">
        <v>85.0</v>
      </c>
      <c r="B21" s="5">
        <v>72.0</v>
      </c>
      <c r="C21" s="5" t="s">
        <v>86</v>
      </c>
      <c r="D21" s="5" t="s">
        <v>83</v>
      </c>
      <c r="E21" s="5"/>
      <c r="F21" s="5"/>
      <c r="G21" s="5"/>
      <c r="H21" s="5"/>
      <c r="I21" s="5"/>
      <c r="J21" s="5"/>
      <c r="K21" s="5"/>
      <c r="L21" s="5"/>
      <c r="M21" s="5"/>
      <c r="N21" s="5"/>
      <c r="O21" s="5"/>
      <c r="P21" s="5"/>
      <c r="Q21" s="5"/>
      <c r="R21" s="5"/>
      <c r="S21" s="5"/>
      <c r="T21" s="5"/>
      <c r="U21" s="5"/>
      <c r="V21" s="5"/>
      <c r="W21" s="5"/>
      <c r="X21" s="5"/>
      <c r="Y21" s="5"/>
      <c r="Z21" s="5"/>
    </row>
    <row r="22" ht="15.75" customHeight="1">
      <c r="A22" s="5">
        <v>90.0</v>
      </c>
      <c r="B22" s="5">
        <v>71.0</v>
      </c>
      <c r="C22" s="5" t="s">
        <v>86</v>
      </c>
      <c r="D22" s="5" t="s">
        <v>83</v>
      </c>
      <c r="E22" s="5"/>
      <c r="F22" s="5"/>
      <c r="G22" s="5"/>
      <c r="H22" s="5"/>
      <c r="I22" s="5"/>
      <c r="J22" s="5"/>
      <c r="K22" s="5"/>
      <c r="L22" s="5"/>
      <c r="M22" s="5"/>
      <c r="N22" s="5"/>
      <c r="O22" s="5"/>
      <c r="P22" s="5"/>
      <c r="Q22" s="5"/>
      <c r="R22" s="5"/>
      <c r="S22" s="5"/>
      <c r="T22" s="5"/>
      <c r="U22" s="5"/>
      <c r="V22" s="5"/>
      <c r="W22" s="5"/>
      <c r="X22" s="5"/>
      <c r="Y22" s="5"/>
      <c r="Z22" s="5"/>
    </row>
    <row r="23" ht="15.75" customHeight="1">
      <c r="A23" s="5">
        <v>95.0</v>
      </c>
      <c r="B23" s="5">
        <v>72.0</v>
      </c>
      <c r="C23" s="5" t="s">
        <v>86</v>
      </c>
      <c r="D23" s="5" t="s">
        <v>83</v>
      </c>
      <c r="E23" s="5"/>
      <c r="F23" s="5"/>
      <c r="G23" s="5"/>
      <c r="H23" s="5"/>
      <c r="I23" s="5"/>
      <c r="J23" s="5"/>
      <c r="K23" s="5"/>
      <c r="L23" s="5"/>
      <c r="M23" s="5"/>
      <c r="N23" s="5"/>
      <c r="O23" s="5"/>
      <c r="P23" s="5"/>
      <c r="Q23" s="5"/>
      <c r="R23" s="5"/>
      <c r="S23" s="5"/>
      <c r="T23" s="5"/>
      <c r="U23" s="5"/>
      <c r="V23" s="5"/>
      <c r="W23" s="5"/>
      <c r="X23" s="5"/>
      <c r="Y23" s="5"/>
      <c r="Z23" s="5"/>
    </row>
    <row r="24" ht="15.75" customHeight="1">
      <c r="A24" s="5">
        <v>100.0</v>
      </c>
      <c r="B24" s="5">
        <v>72.0</v>
      </c>
      <c r="C24" s="5" t="s">
        <v>86</v>
      </c>
      <c r="D24" s="5" t="s">
        <v>83</v>
      </c>
      <c r="E24" s="5"/>
      <c r="F24" s="5"/>
      <c r="G24" s="5"/>
      <c r="H24" s="5"/>
      <c r="I24" s="5"/>
      <c r="J24" s="5"/>
      <c r="K24" s="5"/>
      <c r="L24" s="5"/>
      <c r="M24" s="5"/>
      <c r="N24" s="5"/>
      <c r="O24" s="5"/>
      <c r="P24" s="5"/>
      <c r="Q24" s="5"/>
      <c r="R24" s="5"/>
      <c r="S24" s="5"/>
      <c r="T24" s="5"/>
      <c r="U24" s="5"/>
      <c r="V24" s="5"/>
      <c r="W24" s="5"/>
      <c r="X24" s="5"/>
      <c r="Y24" s="5"/>
      <c r="Z24" s="5"/>
    </row>
    <row r="25" ht="15.75" customHeight="1">
      <c r="A25" s="5">
        <v>105.0</v>
      </c>
      <c r="B25" s="5">
        <v>73.0</v>
      </c>
      <c r="C25" s="5" t="s">
        <v>86</v>
      </c>
      <c r="D25" s="5" t="s">
        <v>83</v>
      </c>
      <c r="E25" s="5"/>
      <c r="F25" s="5"/>
      <c r="G25" s="5"/>
      <c r="H25" s="5"/>
      <c r="I25" s="5"/>
      <c r="J25" s="5"/>
      <c r="K25" s="5"/>
      <c r="L25" s="5"/>
      <c r="M25" s="5"/>
      <c r="N25" s="5"/>
      <c r="O25" s="5"/>
      <c r="P25" s="5"/>
      <c r="Q25" s="5"/>
      <c r="R25" s="5"/>
      <c r="S25" s="5"/>
      <c r="T25" s="5"/>
      <c r="U25" s="5"/>
      <c r="V25" s="5"/>
      <c r="W25" s="5"/>
      <c r="X25" s="5"/>
      <c r="Y25" s="5"/>
      <c r="Z25" s="5"/>
    </row>
    <row r="26" ht="15.75" customHeight="1">
      <c r="A26" s="5">
        <v>110.0</v>
      </c>
      <c r="B26" s="5">
        <v>72.0</v>
      </c>
      <c r="C26" s="5" t="s">
        <v>86</v>
      </c>
      <c r="D26" s="5" t="s">
        <v>83</v>
      </c>
      <c r="E26" s="5"/>
      <c r="F26" s="5"/>
      <c r="G26" s="5"/>
      <c r="H26" s="5"/>
      <c r="I26" s="5"/>
      <c r="J26" s="5"/>
      <c r="K26" s="5"/>
      <c r="L26" s="5"/>
      <c r="M26" s="5"/>
      <c r="N26" s="5"/>
      <c r="O26" s="5"/>
      <c r="P26" s="5"/>
      <c r="Q26" s="5"/>
      <c r="R26" s="5"/>
      <c r="S26" s="5"/>
      <c r="T26" s="5"/>
      <c r="U26" s="5"/>
      <c r="V26" s="5"/>
      <c r="W26" s="5"/>
      <c r="X26" s="5"/>
      <c r="Y26" s="5"/>
      <c r="Z26" s="5"/>
    </row>
    <row r="27" ht="15.75" customHeight="1">
      <c r="A27" s="5">
        <v>115.0</v>
      </c>
      <c r="B27" s="5">
        <v>72.0</v>
      </c>
      <c r="C27" s="5" t="s">
        <v>86</v>
      </c>
      <c r="D27" s="5" t="s">
        <v>83</v>
      </c>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11" t="s">
        <v>87</v>
      </c>
      <c r="E30" s="5"/>
      <c r="F30" s="5"/>
      <c r="G30" s="5"/>
      <c r="H30" s="5"/>
      <c r="I30" s="5"/>
      <c r="J30" s="5"/>
      <c r="K30" s="5"/>
      <c r="L30" s="5"/>
      <c r="M30" s="5"/>
      <c r="N30" s="5"/>
      <c r="O30" s="5"/>
      <c r="P30" s="5"/>
      <c r="Q30" s="5"/>
      <c r="R30" s="5"/>
      <c r="S30" s="5"/>
      <c r="T30" s="5"/>
      <c r="U30" s="5"/>
      <c r="V30" s="5"/>
      <c r="W30" s="5"/>
      <c r="X30" s="5"/>
      <c r="Y30" s="5"/>
      <c r="Z30" s="5"/>
    </row>
    <row r="31" ht="15.75" customHeight="1">
      <c r="E31" s="5"/>
      <c r="F31" s="5"/>
      <c r="G31" s="5"/>
      <c r="H31" s="5"/>
      <c r="I31" s="5"/>
      <c r="J31" s="5"/>
      <c r="K31" s="5"/>
      <c r="L31" s="5"/>
      <c r="M31" s="5"/>
      <c r="N31" s="5"/>
      <c r="O31" s="5"/>
      <c r="P31" s="5"/>
      <c r="Q31" s="5"/>
      <c r="R31" s="5"/>
      <c r="S31" s="5"/>
      <c r="T31" s="5"/>
      <c r="U31" s="5"/>
      <c r="V31" s="5"/>
      <c r="W31" s="5"/>
      <c r="X31" s="5"/>
      <c r="Y31" s="5"/>
      <c r="Z31" s="5"/>
    </row>
    <row r="32" ht="15.75" customHeight="1">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
    <mergeCell ref="A1:D1"/>
    <mergeCell ref="A30:D3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5" width="18.0"/>
    <col customWidth="1" min="6" max="6" width="20.0"/>
    <col customWidth="1" min="7" max="7" width="18.0"/>
    <col customWidth="1" min="8" max="8" width="16.0"/>
    <col customWidth="1" min="9" max="9" width="34.0"/>
    <col customWidth="1" min="10" max="26" width="8.63"/>
  </cols>
  <sheetData>
    <row r="1">
      <c r="A1" s="8" t="s">
        <v>88</v>
      </c>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4" t="s">
        <v>18</v>
      </c>
      <c r="B3" s="4" t="s">
        <v>89</v>
      </c>
      <c r="C3" s="4" t="s">
        <v>90</v>
      </c>
      <c r="D3" s="4" t="s">
        <v>91</v>
      </c>
      <c r="E3" s="4" t="s">
        <v>92</v>
      </c>
      <c r="F3" s="4" t="s">
        <v>93</v>
      </c>
      <c r="G3" s="4" t="s">
        <v>94</v>
      </c>
      <c r="H3" s="4" t="s">
        <v>95</v>
      </c>
      <c r="I3" s="4" t="s">
        <v>96</v>
      </c>
      <c r="J3" s="5"/>
      <c r="K3" s="5"/>
      <c r="L3" s="5"/>
      <c r="M3" s="5"/>
      <c r="N3" s="5"/>
      <c r="O3" s="5"/>
      <c r="P3" s="5"/>
      <c r="Q3" s="5"/>
      <c r="R3" s="5"/>
      <c r="S3" s="5"/>
      <c r="T3" s="5"/>
      <c r="U3" s="5"/>
      <c r="V3" s="5"/>
      <c r="W3" s="5"/>
      <c r="X3" s="5"/>
      <c r="Y3" s="5"/>
      <c r="Z3" s="5"/>
    </row>
    <row r="4">
      <c r="A4" s="5" t="s">
        <v>32</v>
      </c>
      <c r="B4" s="5">
        <v>5.0</v>
      </c>
      <c r="C4" s="5">
        <v>5.0</v>
      </c>
      <c r="D4" s="5">
        <v>4.0</v>
      </c>
      <c r="E4" s="5" t="s">
        <v>47</v>
      </c>
      <c r="F4" s="5" t="s">
        <v>35</v>
      </c>
      <c r="G4" s="5" t="s">
        <v>97</v>
      </c>
      <c r="H4" s="5" t="s">
        <v>47</v>
      </c>
      <c r="I4" s="5" t="s">
        <v>98</v>
      </c>
      <c r="J4" s="5"/>
      <c r="K4" s="5"/>
      <c r="L4" s="5"/>
      <c r="M4" s="5"/>
      <c r="N4" s="5"/>
      <c r="O4" s="5"/>
      <c r="P4" s="5"/>
      <c r="Q4" s="5"/>
      <c r="R4" s="5"/>
      <c r="S4" s="5"/>
      <c r="T4" s="5"/>
      <c r="U4" s="5"/>
      <c r="V4" s="5"/>
      <c r="W4" s="5"/>
      <c r="X4" s="5"/>
      <c r="Y4" s="5"/>
      <c r="Z4" s="5"/>
    </row>
    <row r="5">
      <c r="A5" s="5" t="s">
        <v>36</v>
      </c>
      <c r="B5" s="5">
        <v>4.0</v>
      </c>
      <c r="C5" s="5">
        <v>4.0</v>
      </c>
      <c r="D5" s="5">
        <v>4.0</v>
      </c>
      <c r="E5" s="5" t="s">
        <v>35</v>
      </c>
      <c r="F5" s="5" t="s">
        <v>35</v>
      </c>
      <c r="G5" s="5" t="s">
        <v>99</v>
      </c>
      <c r="H5" s="5" t="s">
        <v>47</v>
      </c>
      <c r="I5" s="5" t="s">
        <v>100</v>
      </c>
      <c r="J5" s="5"/>
      <c r="K5" s="5"/>
      <c r="L5" s="5"/>
      <c r="M5" s="5"/>
      <c r="N5" s="5"/>
      <c r="O5" s="5"/>
      <c r="P5" s="5"/>
      <c r="Q5" s="5"/>
      <c r="R5" s="5"/>
      <c r="S5" s="5"/>
      <c r="T5" s="5"/>
      <c r="U5" s="5"/>
      <c r="V5" s="5"/>
      <c r="W5" s="5"/>
      <c r="X5" s="5"/>
      <c r="Y5" s="5"/>
      <c r="Z5" s="5"/>
    </row>
    <row r="6">
      <c r="A6" s="5" t="s">
        <v>39</v>
      </c>
      <c r="B6" s="5">
        <v>5.0</v>
      </c>
      <c r="C6" s="5">
        <v>5.0</v>
      </c>
      <c r="D6" s="5">
        <v>5.0</v>
      </c>
      <c r="E6" s="5" t="s">
        <v>47</v>
      </c>
      <c r="F6" s="5" t="s">
        <v>47</v>
      </c>
      <c r="G6" s="5" t="s">
        <v>97</v>
      </c>
      <c r="H6" s="5" t="s">
        <v>47</v>
      </c>
      <c r="I6" s="5" t="s">
        <v>98</v>
      </c>
      <c r="J6" s="5"/>
      <c r="K6" s="5"/>
      <c r="L6" s="5"/>
      <c r="M6" s="5"/>
      <c r="N6" s="5"/>
      <c r="O6" s="5"/>
      <c r="P6" s="5"/>
      <c r="Q6" s="5"/>
      <c r="R6" s="5"/>
      <c r="S6" s="5"/>
      <c r="T6" s="5"/>
      <c r="U6" s="5"/>
      <c r="V6" s="5"/>
      <c r="W6" s="5"/>
      <c r="X6" s="5"/>
      <c r="Y6" s="5"/>
      <c r="Z6" s="5"/>
    </row>
    <row r="7">
      <c r="A7" s="5" t="s">
        <v>41</v>
      </c>
      <c r="B7" s="5">
        <v>4.0</v>
      </c>
      <c r="C7" s="5">
        <v>4.0</v>
      </c>
      <c r="D7" s="5">
        <v>4.0</v>
      </c>
      <c r="E7" s="5" t="s">
        <v>47</v>
      </c>
      <c r="F7" s="5" t="s">
        <v>35</v>
      </c>
      <c r="G7" s="5" t="s">
        <v>99</v>
      </c>
      <c r="H7" s="5" t="s">
        <v>47</v>
      </c>
      <c r="I7" s="5" t="s">
        <v>100</v>
      </c>
      <c r="J7" s="5"/>
      <c r="K7" s="5"/>
      <c r="L7" s="5"/>
      <c r="M7" s="5"/>
      <c r="N7" s="5"/>
      <c r="O7" s="5"/>
      <c r="P7" s="5"/>
      <c r="Q7" s="5"/>
      <c r="R7" s="5"/>
      <c r="S7" s="5"/>
      <c r="T7" s="5"/>
      <c r="U7" s="5"/>
      <c r="V7" s="5"/>
      <c r="W7" s="5"/>
      <c r="X7" s="5"/>
      <c r="Y7" s="5"/>
      <c r="Z7" s="5"/>
    </row>
    <row r="8">
      <c r="A8" s="5" t="s">
        <v>43</v>
      </c>
      <c r="B8" s="5">
        <v>5.0</v>
      </c>
      <c r="C8" s="5">
        <v>5.0</v>
      </c>
      <c r="D8" s="5">
        <v>4.0</v>
      </c>
      <c r="E8" s="5" t="s">
        <v>47</v>
      </c>
      <c r="F8" s="5" t="s">
        <v>35</v>
      </c>
      <c r="G8" s="5" t="s">
        <v>97</v>
      </c>
      <c r="H8" s="5" t="s">
        <v>47</v>
      </c>
      <c r="I8" s="5" t="s">
        <v>98</v>
      </c>
      <c r="J8" s="5"/>
      <c r="K8" s="5"/>
      <c r="L8" s="5"/>
      <c r="M8" s="5"/>
      <c r="N8" s="5"/>
      <c r="O8" s="5"/>
      <c r="P8" s="5"/>
      <c r="Q8" s="5"/>
      <c r="R8" s="5"/>
      <c r="S8" s="5"/>
      <c r="T8" s="5"/>
      <c r="U8" s="5"/>
      <c r="V8" s="5"/>
      <c r="W8" s="5"/>
      <c r="X8" s="5"/>
      <c r="Y8" s="5"/>
      <c r="Z8" s="5"/>
    </row>
    <row r="9">
      <c r="A9" s="5" t="s">
        <v>45</v>
      </c>
      <c r="B9" s="5">
        <v>4.0</v>
      </c>
      <c r="C9" s="5">
        <v>4.0</v>
      </c>
      <c r="D9" s="5">
        <v>3.0</v>
      </c>
      <c r="E9" s="5" t="s">
        <v>35</v>
      </c>
      <c r="F9" s="5" t="s">
        <v>47</v>
      </c>
      <c r="G9" s="5" t="s">
        <v>99</v>
      </c>
      <c r="H9" s="5" t="s">
        <v>101</v>
      </c>
      <c r="I9" s="5" t="s">
        <v>100</v>
      </c>
      <c r="J9" s="5"/>
      <c r="K9" s="5"/>
      <c r="L9" s="5"/>
      <c r="M9" s="5"/>
      <c r="N9" s="5"/>
      <c r="O9" s="5"/>
      <c r="P9" s="5"/>
      <c r="Q9" s="5"/>
      <c r="R9" s="5"/>
      <c r="S9" s="5"/>
      <c r="T9" s="5"/>
      <c r="U9" s="5"/>
      <c r="V9" s="5"/>
      <c r="W9" s="5"/>
      <c r="X9" s="5"/>
      <c r="Y9" s="5"/>
      <c r="Z9" s="5"/>
    </row>
    <row r="10">
      <c r="A10" s="5" t="s">
        <v>48</v>
      </c>
      <c r="B10" s="5">
        <v>4.0</v>
      </c>
      <c r="C10" s="5">
        <v>4.0</v>
      </c>
      <c r="D10" s="5">
        <v>4.0</v>
      </c>
      <c r="E10" s="5" t="s">
        <v>47</v>
      </c>
      <c r="F10" s="5" t="s">
        <v>47</v>
      </c>
      <c r="G10" s="5" t="s">
        <v>99</v>
      </c>
      <c r="H10" s="5" t="s">
        <v>47</v>
      </c>
      <c r="I10" s="5" t="s">
        <v>100</v>
      </c>
      <c r="J10" s="5"/>
      <c r="K10" s="5"/>
      <c r="L10" s="5"/>
      <c r="M10" s="5"/>
      <c r="N10" s="5"/>
      <c r="O10" s="5"/>
      <c r="P10" s="5"/>
      <c r="Q10" s="5"/>
      <c r="R10" s="5"/>
      <c r="S10" s="5"/>
      <c r="T10" s="5"/>
      <c r="U10" s="5"/>
      <c r="V10" s="5"/>
      <c r="W10" s="5"/>
      <c r="X10" s="5"/>
      <c r="Y10" s="5"/>
      <c r="Z10" s="5"/>
    </row>
    <row r="11">
      <c r="A11" s="5" t="s">
        <v>50</v>
      </c>
      <c r="B11" s="5">
        <v>5.0</v>
      </c>
      <c r="C11" s="5">
        <v>5.0</v>
      </c>
      <c r="D11" s="5">
        <v>4.0</v>
      </c>
      <c r="E11" s="5" t="s">
        <v>47</v>
      </c>
      <c r="F11" s="5" t="s">
        <v>35</v>
      </c>
      <c r="G11" s="5" t="s">
        <v>97</v>
      </c>
      <c r="H11" s="5" t="s">
        <v>47</v>
      </c>
      <c r="I11" s="5" t="s">
        <v>98</v>
      </c>
      <c r="J11" s="5"/>
      <c r="K11" s="5"/>
      <c r="L11" s="5"/>
      <c r="M11" s="5"/>
      <c r="N11" s="5"/>
      <c r="O11" s="5"/>
      <c r="P11" s="5"/>
      <c r="Q11" s="5"/>
      <c r="R11" s="5"/>
      <c r="S11" s="5"/>
      <c r="T11" s="5"/>
      <c r="U11" s="5"/>
      <c r="V11" s="5"/>
      <c r="W11" s="5"/>
      <c r="X11" s="5"/>
      <c r="Y11" s="5"/>
      <c r="Z11" s="5"/>
    </row>
    <row r="12">
      <c r="A12" s="5" t="s">
        <v>52</v>
      </c>
      <c r="B12" s="5">
        <v>5.0</v>
      </c>
      <c r="C12" s="5">
        <v>5.0</v>
      </c>
      <c r="D12" s="5">
        <v>5.0</v>
      </c>
      <c r="E12" s="5" t="s">
        <v>47</v>
      </c>
      <c r="F12" s="5" t="s">
        <v>35</v>
      </c>
      <c r="G12" s="5" t="s">
        <v>97</v>
      </c>
      <c r="H12" s="5" t="s">
        <v>47</v>
      </c>
      <c r="I12" s="5" t="s">
        <v>98</v>
      </c>
      <c r="J12" s="5"/>
      <c r="K12" s="5"/>
      <c r="L12" s="5"/>
      <c r="M12" s="5"/>
      <c r="N12" s="5"/>
      <c r="O12" s="5"/>
      <c r="P12" s="5"/>
      <c r="Q12" s="5"/>
      <c r="R12" s="5"/>
      <c r="S12" s="5"/>
      <c r="T12" s="5"/>
      <c r="U12" s="5"/>
      <c r="V12" s="5"/>
      <c r="W12" s="5"/>
      <c r="X12" s="5"/>
      <c r="Y12" s="5"/>
      <c r="Z12" s="5"/>
    </row>
    <row r="13">
      <c r="A13" s="5" t="s">
        <v>54</v>
      </c>
      <c r="B13" s="5">
        <v>4.0</v>
      </c>
      <c r="C13" s="5">
        <v>4.0</v>
      </c>
      <c r="D13" s="5">
        <v>4.0</v>
      </c>
      <c r="E13" s="5" t="s">
        <v>47</v>
      </c>
      <c r="F13" s="5" t="s">
        <v>35</v>
      </c>
      <c r="G13" s="5" t="s">
        <v>99</v>
      </c>
      <c r="H13" s="5" t="s">
        <v>47</v>
      </c>
      <c r="I13" s="5" t="s">
        <v>100</v>
      </c>
      <c r="J13" s="5"/>
      <c r="K13" s="5"/>
      <c r="L13" s="5"/>
      <c r="M13" s="5"/>
      <c r="N13" s="5"/>
      <c r="O13" s="5"/>
      <c r="P13" s="5"/>
      <c r="Q13" s="5"/>
      <c r="R13" s="5"/>
      <c r="S13" s="5"/>
      <c r="T13" s="5"/>
      <c r="U13" s="5"/>
      <c r="V13" s="5"/>
      <c r="W13" s="5"/>
      <c r="X13" s="5"/>
      <c r="Y13" s="5"/>
      <c r="Z13" s="5"/>
    </row>
    <row r="14">
      <c r="A14" s="5" t="s">
        <v>56</v>
      </c>
      <c r="B14" s="5">
        <v>4.0</v>
      </c>
      <c r="C14" s="5">
        <v>4.0</v>
      </c>
      <c r="D14" s="5">
        <v>3.0</v>
      </c>
      <c r="E14" s="5" t="s">
        <v>35</v>
      </c>
      <c r="F14" s="5" t="s">
        <v>47</v>
      </c>
      <c r="G14" s="5" t="s">
        <v>99</v>
      </c>
      <c r="H14" s="5" t="s">
        <v>47</v>
      </c>
      <c r="I14" s="5" t="s">
        <v>100</v>
      </c>
      <c r="J14" s="5"/>
      <c r="K14" s="5"/>
      <c r="L14" s="5"/>
      <c r="M14" s="5"/>
      <c r="N14" s="5"/>
      <c r="O14" s="5"/>
      <c r="P14" s="5"/>
      <c r="Q14" s="5"/>
      <c r="R14" s="5"/>
      <c r="S14" s="5"/>
      <c r="T14" s="5"/>
      <c r="U14" s="5"/>
      <c r="V14" s="5"/>
      <c r="W14" s="5"/>
      <c r="X14" s="5"/>
      <c r="Y14" s="5"/>
      <c r="Z14" s="5"/>
    </row>
    <row r="15">
      <c r="A15" s="5" t="s">
        <v>58</v>
      </c>
      <c r="B15" s="5">
        <v>5.0</v>
      </c>
      <c r="C15" s="5">
        <v>5.0</v>
      </c>
      <c r="D15" s="5">
        <v>4.0</v>
      </c>
      <c r="E15" s="5" t="s">
        <v>47</v>
      </c>
      <c r="F15" s="5" t="s">
        <v>35</v>
      </c>
      <c r="G15" s="5" t="s">
        <v>97</v>
      </c>
      <c r="H15" s="5" t="s">
        <v>47</v>
      </c>
      <c r="I15" s="5" t="s">
        <v>98</v>
      </c>
      <c r="J15" s="5"/>
      <c r="K15" s="5"/>
      <c r="L15" s="5"/>
      <c r="M15" s="5"/>
      <c r="N15" s="5"/>
      <c r="O15" s="5"/>
      <c r="P15" s="5"/>
      <c r="Q15" s="5"/>
      <c r="R15" s="5"/>
      <c r="S15" s="5"/>
      <c r="T15" s="5"/>
      <c r="U15" s="5"/>
      <c r="V15" s="5"/>
      <c r="W15" s="5"/>
      <c r="X15" s="5"/>
      <c r="Y15" s="5"/>
      <c r="Z15" s="5"/>
    </row>
    <row r="16">
      <c r="A16" s="5" t="s">
        <v>60</v>
      </c>
      <c r="B16" s="5">
        <v>4.0</v>
      </c>
      <c r="C16" s="5">
        <v>4.0</v>
      </c>
      <c r="D16" s="5">
        <v>4.0</v>
      </c>
      <c r="E16" s="5" t="s">
        <v>47</v>
      </c>
      <c r="F16" s="5" t="s">
        <v>47</v>
      </c>
      <c r="G16" s="5" t="s">
        <v>99</v>
      </c>
      <c r="H16" s="5" t="s">
        <v>47</v>
      </c>
      <c r="I16" s="5" t="s">
        <v>100</v>
      </c>
      <c r="J16" s="5"/>
      <c r="K16" s="5"/>
      <c r="L16" s="5"/>
      <c r="M16" s="5"/>
      <c r="N16" s="5"/>
      <c r="O16" s="5"/>
      <c r="P16" s="5"/>
      <c r="Q16" s="5"/>
      <c r="R16" s="5"/>
      <c r="S16" s="5"/>
      <c r="T16" s="5"/>
      <c r="U16" s="5"/>
      <c r="V16" s="5"/>
      <c r="W16" s="5"/>
      <c r="X16" s="5"/>
      <c r="Y16" s="5"/>
      <c r="Z16" s="5"/>
    </row>
    <row r="17">
      <c r="A17" s="5" t="s">
        <v>62</v>
      </c>
      <c r="B17" s="5">
        <v>4.0</v>
      </c>
      <c r="C17" s="5">
        <v>4.0</v>
      </c>
      <c r="D17" s="5">
        <v>4.0</v>
      </c>
      <c r="E17" s="5" t="s">
        <v>47</v>
      </c>
      <c r="F17" s="5" t="s">
        <v>35</v>
      </c>
      <c r="G17" s="5" t="s">
        <v>99</v>
      </c>
      <c r="H17" s="5" t="s">
        <v>47</v>
      </c>
      <c r="I17" s="5" t="s">
        <v>100</v>
      </c>
      <c r="J17" s="5"/>
      <c r="K17" s="5"/>
      <c r="L17" s="5"/>
      <c r="M17" s="5"/>
      <c r="N17" s="5"/>
      <c r="O17" s="5"/>
      <c r="P17" s="5"/>
      <c r="Q17" s="5"/>
      <c r="R17" s="5"/>
      <c r="S17" s="5"/>
      <c r="T17" s="5"/>
      <c r="U17" s="5"/>
      <c r="V17" s="5"/>
      <c r="W17" s="5"/>
      <c r="X17" s="5"/>
      <c r="Y17" s="5"/>
      <c r="Z17" s="5"/>
    </row>
    <row r="18">
      <c r="A18" s="5" t="s">
        <v>64</v>
      </c>
      <c r="B18" s="5">
        <v>5.0</v>
      </c>
      <c r="C18" s="5">
        <v>5.0</v>
      </c>
      <c r="D18" s="5">
        <v>5.0</v>
      </c>
      <c r="E18" s="5" t="s">
        <v>47</v>
      </c>
      <c r="F18" s="5" t="s">
        <v>35</v>
      </c>
      <c r="G18" s="5" t="s">
        <v>97</v>
      </c>
      <c r="H18" s="5" t="s">
        <v>47</v>
      </c>
      <c r="I18" s="5" t="s">
        <v>98</v>
      </c>
      <c r="J18" s="5"/>
      <c r="K18" s="5"/>
      <c r="L18" s="5"/>
      <c r="M18" s="5"/>
      <c r="N18" s="5"/>
      <c r="O18" s="5"/>
      <c r="P18" s="5"/>
      <c r="Q18" s="5"/>
      <c r="R18" s="5"/>
      <c r="S18" s="5"/>
      <c r="T18" s="5"/>
      <c r="U18" s="5"/>
      <c r="V18" s="5"/>
      <c r="W18" s="5"/>
      <c r="X18" s="5"/>
      <c r="Y18" s="5"/>
      <c r="Z18" s="5"/>
    </row>
    <row r="19">
      <c r="A19" s="5" t="s">
        <v>66</v>
      </c>
      <c r="B19" s="5">
        <v>5.0</v>
      </c>
      <c r="C19" s="5">
        <v>5.0</v>
      </c>
      <c r="D19" s="5">
        <v>4.0</v>
      </c>
      <c r="E19" s="5" t="s">
        <v>47</v>
      </c>
      <c r="F19" s="5" t="s">
        <v>35</v>
      </c>
      <c r="G19" s="5" t="s">
        <v>97</v>
      </c>
      <c r="H19" s="5" t="s">
        <v>47</v>
      </c>
      <c r="I19" s="5" t="s">
        <v>98</v>
      </c>
      <c r="J19" s="5"/>
      <c r="K19" s="5"/>
      <c r="L19" s="5"/>
      <c r="M19" s="5"/>
      <c r="N19" s="5"/>
      <c r="O19" s="5"/>
      <c r="P19" s="5"/>
      <c r="Q19" s="5"/>
      <c r="R19" s="5"/>
      <c r="S19" s="5"/>
      <c r="T19" s="5"/>
      <c r="U19" s="5"/>
      <c r="V19" s="5"/>
      <c r="W19" s="5"/>
      <c r="X19" s="5"/>
      <c r="Y19" s="5"/>
      <c r="Z19" s="5"/>
    </row>
    <row r="20">
      <c r="A20" s="5" t="s">
        <v>68</v>
      </c>
      <c r="B20" s="5">
        <v>4.0</v>
      </c>
      <c r="C20" s="5">
        <v>4.0</v>
      </c>
      <c r="D20" s="5">
        <v>4.0</v>
      </c>
      <c r="E20" s="5" t="s">
        <v>47</v>
      </c>
      <c r="F20" s="5" t="s">
        <v>47</v>
      </c>
      <c r="G20" s="5" t="s">
        <v>99</v>
      </c>
      <c r="H20" s="5" t="s">
        <v>47</v>
      </c>
      <c r="I20" s="5" t="s">
        <v>100</v>
      </c>
      <c r="J20" s="5"/>
      <c r="K20" s="5"/>
      <c r="L20" s="5"/>
      <c r="M20" s="5"/>
      <c r="N20" s="5"/>
      <c r="O20" s="5"/>
      <c r="P20" s="5"/>
      <c r="Q20" s="5"/>
      <c r="R20" s="5"/>
      <c r="S20" s="5"/>
      <c r="T20" s="5"/>
      <c r="U20" s="5"/>
      <c r="V20" s="5"/>
      <c r="W20" s="5"/>
      <c r="X20" s="5"/>
      <c r="Y20" s="5"/>
      <c r="Z20" s="5"/>
    </row>
    <row r="21" ht="15.75" customHeight="1">
      <c r="A21" s="5" t="s">
        <v>70</v>
      </c>
      <c r="B21" s="5">
        <v>5.0</v>
      </c>
      <c r="C21" s="5">
        <v>5.0</v>
      </c>
      <c r="D21" s="5">
        <v>5.0</v>
      </c>
      <c r="E21" s="5" t="s">
        <v>47</v>
      </c>
      <c r="F21" s="5" t="s">
        <v>35</v>
      </c>
      <c r="G21" s="5" t="s">
        <v>97</v>
      </c>
      <c r="H21" s="5" t="s">
        <v>47</v>
      </c>
      <c r="I21" s="5" t="s">
        <v>98</v>
      </c>
      <c r="J21" s="5"/>
      <c r="K21" s="5"/>
      <c r="L21" s="5"/>
      <c r="M21" s="5"/>
      <c r="N21" s="5"/>
      <c r="O21" s="5"/>
      <c r="P21" s="5"/>
      <c r="Q21" s="5"/>
      <c r="R21" s="5"/>
      <c r="S21" s="5"/>
      <c r="T21" s="5"/>
      <c r="U21" s="5"/>
      <c r="V21" s="5"/>
      <c r="W21" s="5"/>
      <c r="X21" s="5"/>
      <c r="Y21" s="5"/>
      <c r="Z21" s="5"/>
    </row>
    <row r="22" ht="15.75" customHeight="1">
      <c r="A22" s="5" t="s">
        <v>72</v>
      </c>
      <c r="B22" s="5">
        <v>4.0</v>
      </c>
      <c r="C22" s="5">
        <v>4.0</v>
      </c>
      <c r="D22" s="5">
        <v>4.0</v>
      </c>
      <c r="E22" s="5" t="s">
        <v>35</v>
      </c>
      <c r="F22" s="5" t="s">
        <v>47</v>
      </c>
      <c r="G22" s="5" t="s">
        <v>99</v>
      </c>
      <c r="H22" s="5" t="s">
        <v>47</v>
      </c>
      <c r="I22" s="5" t="s">
        <v>100</v>
      </c>
      <c r="J22" s="5"/>
      <c r="K22" s="5"/>
      <c r="L22" s="5"/>
      <c r="M22" s="5"/>
      <c r="N22" s="5"/>
      <c r="O22" s="5"/>
      <c r="P22" s="5"/>
      <c r="Q22" s="5"/>
      <c r="R22" s="5"/>
      <c r="S22" s="5"/>
      <c r="T22" s="5"/>
      <c r="U22" s="5"/>
      <c r="V22" s="5"/>
      <c r="W22" s="5"/>
      <c r="X22" s="5"/>
      <c r="Y22" s="5"/>
      <c r="Z22" s="5"/>
    </row>
    <row r="23" ht="15.75" customHeight="1">
      <c r="A23" s="5" t="s">
        <v>74</v>
      </c>
      <c r="B23" s="5">
        <v>5.0</v>
      </c>
      <c r="C23" s="5">
        <v>5.0</v>
      </c>
      <c r="D23" s="5">
        <v>4.0</v>
      </c>
      <c r="E23" s="5" t="s">
        <v>47</v>
      </c>
      <c r="F23" s="5" t="s">
        <v>35</v>
      </c>
      <c r="G23" s="5" t="s">
        <v>97</v>
      </c>
      <c r="H23" s="5" t="s">
        <v>47</v>
      </c>
      <c r="I23" s="5" t="s">
        <v>98</v>
      </c>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1:I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75"/>
    <col customWidth="1" min="2" max="2" width="13.13"/>
    <col customWidth="1" min="3" max="3" width="8.63"/>
    <col customWidth="1" min="4" max="4" width="14.25"/>
    <col customWidth="1" min="5" max="5" width="41.75"/>
    <col customWidth="1" min="6" max="6" width="17.5"/>
    <col customWidth="1" min="7" max="7" width="36.0"/>
    <col customWidth="1" min="8" max="26" width="8.63"/>
  </cols>
  <sheetData>
    <row r="1">
      <c r="A1" s="8" t="s">
        <v>102</v>
      </c>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4" t="s">
        <v>103</v>
      </c>
      <c r="B3" s="4" t="s">
        <v>104</v>
      </c>
      <c r="C3" s="5"/>
      <c r="D3" s="4" t="s">
        <v>105</v>
      </c>
      <c r="E3" s="4" t="s">
        <v>106</v>
      </c>
      <c r="F3" s="4" t="s">
        <v>107</v>
      </c>
      <c r="G3" s="4" t="s">
        <v>108</v>
      </c>
      <c r="H3" s="5"/>
      <c r="I3" s="5"/>
      <c r="J3" s="5"/>
      <c r="K3" s="5"/>
      <c r="L3" s="5"/>
      <c r="M3" s="5"/>
      <c r="N3" s="5"/>
      <c r="O3" s="5"/>
      <c r="P3" s="5"/>
      <c r="Q3" s="5"/>
      <c r="R3" s="5"/>
      <c r="S3" s="5"/>
      <c r="T3" s="5"/>
      <c r="U3" s="5"/>
      <c r="V3" s="5"/>
      <c r="W3" s="5"/>
      <c r="X3" s="5"/>
      <c r="Y3" s="5"/>
      <c r="Z3" s="5"/>
    </row>
    <row r="4">
      <c r="A4" s="5" t="s">
        <v>109</v>
      </c>
      <c r="B4" s="10">
        <f>AVERAGE('Raw Student Data'!F4:F23)</f>
        <v>65.55</v>
      </c>
      <c r="C4" s="5"/>
      <c r="D4" s="5" t="s">
        <v>110</v>
      </c>
      <c r="E4" s="5" t="s">
        <v>111</v>
      </c>
      <c r="F4" s="5" t="s">
        <v>112</v>
      </c>
      <c r="G4" s="5" t="s">
        <v>113</v>
      </c>
      <c r="H4" s="5"/>
      <c r="I4" s="5"/>
      <c r="J4" s="5"/>
      <c r="K4" s="5"/>
      <c r="L4" s="5"/>
      <c r="M4" s="5"/>
      <c r="N4" s="5"/>
      <c r="O4" s="5"/>
      <c r="P4" s="5"/>
      <c r="Q4" s="5"/>
      <c r="R4" s="5"/>
      <c r="S4" s="5"/>
      <c r="T4" s="5"/>
      <c r="U4" s="5"/>
      <c r="V4" s="5"/>
      <c r="W4" s="5"/>
      <c r="X4" s="5"/>
      <c r="Y4" s="5"/>
      <c r="Z4" s="5"/>
    </row>
    <row r="5">
      <c r="A5" s="5" t="s">
        <v>114</v>
      </c>
      <c r="B5" s="10">
        <f>AVERAGE('Raw Student Data'!N4:N23)</f>
        <v>9.15</v>
      </c>
      <c r="C5" s="5"/>
      <c r="D5" s="5" t="s">
        <v>31</v>
      </c>
      <c r="E5" s="5" t="s">
        <v>115</v>
      </c>
      <c r="F5" s="5" t="s">
        <v>116</v>
      </c>
      <c r="G5" s="5" t="s">
        <v>117</v>
      </c>
      <c r="H5" s="5"/>
      <c r="I5" s="5"/>
      <c r="J5" s="5"/>
      <c r="K5" s="5"/>
      <c r="L5" s="5"/>
      <c r="M5" s="5"/>
      <c r="N5" s="5"/>
      <c r="O5" s="5"/>
      <c r="P5" s="5"/>
      <c r="Q5" s="5"/>
      <c r="R5" s="5"/>
      <c r="S5" s="5"/>
      <c r="T5" s="5"/>
      <c r="U5" s="5"/>
      <c r="V5" s="5"/>
      <c r="W5" s="5"/>
      <c r="X5" s="5"/>
      <c r="Y5" s="5"/>
      <c r="Z5" s="5"/>
    </row>
    <row r="6">
      <c r="A6" s="5" t="s">
        <v>118</v>
      </c>
      <c r="B6" s="10">
        <f>COUNTIF('Raw Student Data'!M4:M23,"Yes")</f>
        <v>8</v>
      </c>
      <c r="C6" s="5"/>
      <c r="D6" s="5" t="s">
        <v>119</v>
      </c>
      <c r="E6" s="5" t="s">
        <v>120</v>
      </c>
      <c r="F6" s="5" t="s">
        <v>121</v>
      </c>
      <c r="G6" s="5" t="s">
        <v>122</v>
      </c>
      <c r="H6" s="5"/>
      <c r="I6" s="5"/>
      <c r="J6" s="5"/>
      <c r="K6" s="5"/>
      <c r="L6" s="5"/>
      <c r="M6" s="5"/>
      <c r="N6" s="5"/>
      <c r="O6" s="5"/>
      <c r="P6" s="5"/>
      <c r="Q6" s="5"/>
      <c r="R6" s="5"/>
      <c r="S6" s="5"/>
      <c r="T6" s="5"/>
      <c r="U6" s="5"/>
      <c r="V6" s="5"/>
      <c r="W6" s="5"/>
      <c r="X6" s="5"/>
      <c r="Y6" s="5"/>
      <c r="Z6" s="5"/>
    </row>
    <row r="7">
      <c r="A7" s="5" t="s">
        <v>123</v>
      </c>
      <c r="B7" s="10">
        <f>COUNTIF('Raw Student Data'!M4:M23,"Yes")/COUNTA('Raw Student Data'!A4:A23)*100</f>
        <v>40</v>
      </c>
      <c r="C7" s="5"/>
      <c r="D7" s="5" t="s">
        <v>124</v>
      </c>
      <c r="E7" s="5" t="s">
        <v>125</v>
      </c>
      <c r="F7" s="5" t="s">
        <v>126</v>
      </c>
      <c r="G7" s="5" t="s">
        <v>127</v>
      </c>
      <c r="H7" s="5"/>
      <c r="I7" s="5"/>
      <c r="J7" s="5"/>
      <c r="K7" s="5"/>
      <c r="L7" s="5"/>
      <c r="M7" s="5"/>
      <c r="N7" s="5"/>
      <c r="O7" s="5"/>
      <c r="P7" s="5"/>
      <c r="Q7" s="5"/>
      <c r="R7" s="5"/>
      <c r="S7" s="5"/>
      <c r="T7" s="5"/>
      <c r="U7" s="5"/>
      <c r="V7" s="5"/>
      <c r="W7" s="5"/>
      <c r="X7" s="5"/>
      <c r="Y7" s="5"/>
      <c r="Z7" s="5"/>
    </row>
    <row r="8">
      <c r="A8" s="5" t="s">
        <v>128</v>
      </c>
      <c r="B8" s="10">
        <f>AVERAGE('Raw Student Data'!G4:G23)</f>
        <v>90.5</v>
      </c>
      <c r="C8" s="5"/>
      <c r="D8" s="5"/>
      <c r="E8" s="5"/>
      <c r="F8" s="5"/>
      <c r="G8" s="5"/>
      <c r="H8" s="5"/>
      <c r="I8" s="5"/>
      <c r="J8" s="5"/>
      <c r="K8" s="5"/>
      <c r="L8" s="5"/>
      <c r="M8" s="5"/>
      <c r="N8" s="5"/>
      <c r="O8" s="5"/>
      <c r="P8" s="5"/>
      <c r="Q8" s="5"/>
      <c r="R8" s="5"/>
      <c r="S8" s="5"/>
      <c r="T8" s="5"/>
      <c r="U8" s="5"/>
      <c r="V8" s="5"/>
      <c r="W8" s="5"/>
      <c r="X8" s="5"/>
      <c r="Y8" s="5"/>
      <c r="Z8" s="5"/>
    </row>
    <row r="9">
      <c r="A9" s="5" t="s">
        <v>129</v>
      </c>
      <c r="B9" s="10">
        <f>AVERAGE('Raw Student Data'!H4:H23)</f>
        <v>95.2</v>
      </c>
      <c r="C9" s="5"/>
      <c r="D9" s="5"/>
      <c r="E9" s="5"/>
      <c r="F9" s="5"/>
      <c r="G9" s="5"/>
      <c r="H9" s="5"/>
      <c r="I9" s="5"/>
      <c r="J9" s="5"/>
      <c r="K9" s="5"/>
      <c r="L9" s="5"/>
      <c r="M9" s="5"/>
      <c r="N9" s="5"/>
      <c r="O9" s="5"/>
      <c r="P9" s="5"/>
      <c r="Q9" s="5"/>
      <c r="R9" s="5"/>
      <c r="S9" s="5"/>
      <c r="T9" s="5"/>
      <c r="U9" s="5"/>
      <c r="V9" s="5"/>
      <c r="W9" s="5"/>
      <c r="X9" s="5"/>
      <c r="Y9" s="5"/>
      <c r="Z9" s="5"/>
    </row>
    <row r="10">
      <c r="A10" s="5" t="s">
        <v>130</v>
      </c>
      <c r="B10" s="10">
        <f>AVERAGE('Raw Student Data'!I4:I23)</f>
        <v>3.775</v>
      </c>
      <c r="C10" s="5"/>
      <c r="D10" s="5"/>
      <c r="E10" s="5"/>
      <c r="F10" s="5"/>
      <c r="G10" s="5"/>
      <c r="H10" s="5"/>
      <c r="I10" s="5"/>
      <c r="J10" s="5"/>
      <c r="K10" s="5"/>
      <c r="L10" s="5"/>
      <c r="M10" s="5"/>
      <c r="N10" s="5"/>
      <c r="O10" s="5"/>
      <c r="P10" s="5"/>
      <c r="Q10" s="5"/>
      <c r="R10" s="5"/>
      <c r="S10" s="5"/>
      <c r="T10" s="5"/>
      <c r="U10" s="5"/>
      <c r="V10" s="5"/>
      <c r="W10" s="5"/>
      <c r="X10" s="5"/>
      <c r="Y10" s="5"/>
      <c r="Z10" s="5"/>
    </row>
    <row r="11">
      <c r="A11" s="5" t="s">
        <v>131</v>
      </c>
      <c r="B11" s="10">
        <f>AVERAGE('Raw Student Data'!J4:J23)</f>
        <v>3.14</v>
      </c>
      <c r="C11" s="5"/>
      <c r="D11" s="5"/>
      <c r="E11" s="5"/>
      <c r="F11" s="5"/>
      <c r="G11" s="5"/>
      <c r="H11" s="5"/>
      <c r="I11" s="5"/>
      <c r="J11" s="5"/>
      <c r="K11" s="5"/>
      <c r="L11" s="5"/>
      <c r="M11" s="5"/>
      <c r="N11" s="5"/>
      <c r="O11" s="5"/>
      <c r="P11" s="5"/>
      <c r="Q11" s="5"/>
      <c r="R11" s="5"/>
      <c r="S11" s="5"/>
      <c r="T11" s="5"/>
      <c r="U11" s="5"/>
      <c r="V11" s="5"/>
      <c r="W11" s="5"/>
      <c r="X11" s="5"/>
      <c r="Y11" s="5"/>
      <c r="Z11" s="5"/>
    </row>
    <row r="12">
      <c r="A12" s="5" t="s">
        <v>132</v>
      </c>
      <c r="B12" s="10">
        <f>COUNTIF('Raw Student Data'!L4:L23,"Yes")/COUNTA('Raw Student Data'!A4:A23)*100</f>
        <v>80</v>
      </c>
      <c r="C12" s="5"/>
      <c r="D12" s="5"/>
      <c r="E12" s="5"/>
      <c r="F12" s="5"/>
      <c r="G12" s="5"/>
      <c r="H12" s="5"/>
      <c r="I12" s="5"/>
      <c r="J12" s="5"/>
      <c r="K12" s="5"/>
      <c r="L12" s="5"/>
      <c r="M12" s="5"/>
      <c r="N12" s="5"/>
      <c r="O12" s="5"/>
      <c r="P12" s="5"/>
      <c r="Q12" s="5"/>
      <c r="R12" s="5"/>
      <c r="S12" s="5"/>
      <c r="T12" s="5"/>
      <c r="U12" s="5"/>
      <c r="V12" s="5"/>
      <c r="W12" s="5"/>
      <c r="X12" s="5"/>
      <c r="Y12" s="5"/>
      <c r="Z12" s="5"/>
    </row>
    <row r="13">
      <c r="A13" s="5" t="s">
        <v>133</v>
      </c>
      <c r="B13" s="10">
        <f>AVERAGE('Raw Student Data'!K4:K23)</f>
        <v>1.4</v>
      </c>
      <c r="C13" s="5"/>
      <c r="D13" s="5"/>
      <c r="E13" s="5"/>
      <c r="F13" s="5"/>
      <c r="G13" s="5"/>
      <c r="H13" s="5"/>
      <c r="I13" s="5"/>
      <c r="J13" s="5"/>
      <c r="K13" s="5"/>
      <c r="L13" s="5"/>
      <c r="M13" s="5"/>
      <c r="N13" s="5"/>
      <c r="O13" s="5"/>
      <c r="P13" s="5"/>
      <c r="Q13" s="5"/>
      <c r="R13" s="5"/>
      <c r="S13" s="5"/>
      <c r="T13" s="5"/>
      <c r="U13" s="5"/>
      <c r="V13" s="5"/>
      <c r="W13" s="5"/>
      <c r="X13" s="5"/>
      <c r="Y13" s="5"/>
      <c r="Z13" s="5"/>
    </row>
    <row r="14">
      <c r="A14" s="5" t="s">
        <v>134</v>
      </c>
      <c r="B14" s="10">
        <f>AVERAGE('Raw Observation Data'!B4:B23)</f>
        <v>4.5</v>
      </c>
      <c r="C14" s="5"/>
      <c r="D14" s="5"/>
      <c r="E14" s="5"/>
      <c r="F14" s="5"/>
      <c r="G14" s="5"/>
      <c r="H14" s="5"/>
      <c r="I14" s="5"/>
      <c r="J14" s="5"/>
      <c r="K14" s="5"/>
      <c r="L14" s="5"/>
      <c r="M14" s="5"/>
      <c r="N14" s="5"/>
      <c r="O14" s="5"/>
      <c r="P14" s="5"/>
      <c r="Q14" s="5"/>
      <c r="R14" s="5"/>
      <c r="S14" s="5"/>
      <c r="T14" s="5"/>
      <c r="U14" s="5"/>
      <c r="V14" s="5"/>
      <c r="W14" s="5"/>
      <c r="X14" s="5"/>
      <c r="Y14" s="5"/>
      <c r="Z14" s="5"/>
    </row>
    <row r="15">
      <c r="A15" s="5" t="s">
        <v>135</v>
      </c>
      <c r="B15" s="10">
        <f>AVERAGE('Raw Observation Data'!C4:C23)</f>
        <v>4.5</v>
      </c>
      <c r="C15" s="5"/>
      <c r="D15" s="5"/>
      <c r="E15" s="5"/>
      <c r="F15" s="5"/>
      <c r="G15" s="5"/>
      <c r="H15" s="5"/>
      <c r="I15" s="5"/>
      <c r="J15" s="5"/>
      <c r="K15" s="5"/>
      <c r="L15" s="5"/>
      <c r="M15" s="5"/>
      <c r="N15" s="5"/>
      <c r="O15" s="5"/>
      <c r="P15" s="5"/>
      <c r="Q15" s="5"/>
      <c r="R15" s="5"/>
      <c r="S15" s="5"/>
      <c r="T15" s="5"/>
      <c r="U15" s="5"/>
      <c r="V15" s="5"/>
      <c r="W15" s="5"/>
      <c r="X15" s="5"/>
      <c r="Y15" s="5"/>
      <c r="Z15" s="5"/>
    </row>
    <row r="16">
      <c r="A16" s="5" t="s">
        <v>136</v>
      </c>
      <c r="B16" s="10">
        <f>AVERAGE('Raw Observation Data'!D4:D23)</f>
        <v>4.1</v>
      </c>
      <c r="C16" s="5"/>
      <c r="D16" s="5"/>
      <c r="E16" s="5"/>
      <c r="F16" s="5"/>
      <c r="G16" s="5"/>
      <c r="H16" s="5"/>
      <c r="I16" s="5"/>
      <c r="J16" s="5"/>
      <c r="K16" s="5"/>
      <c r="L16" s="5"/>
      <c r="M16" s="5"/>
      <c r="N16" s="5"/>
      <c r="O16" s="5"/>
      <c r="P16" s="5"/>
      <c r="Q16" s="5"/>
      <c r="R16" s="5"/>
      <c r="S16" s="5"/>
      <c r="T16" s="5"/>
      <c r="U16" s="5"/>
      <c r="V16" s="5"/>
      <c r="W16" s="5"/>
      <c r="X16" s="5"/>
      <c r="Y16" s="5"/>
      <c r="Z16" s="5"/>
    </row>
    <row r="17">
      <c r="A17" s="5" t="s">
        <v>137</v>
      </c>
      <c r="B17" s="10">
        <f>COUNTIF('Raw Observation Data'!F4:F23,"Yes")/COUNTA('Raw Observation Data'!A4:A23)*100</f>
        <v>65</v>
      </c>
      <c r="C17" s="5"/>
      <c r="D17" s="5"/>
      <c r="E17" s="5"/>
      <c r="F17" s="5"/>
      <c r="G17" s="5"/>
      <c r="H17" s="5"/>
      <c r="I17" s="5"/>
      <c r="J17" s="5"/>
      <c r="K17" s="5"/>
      <c r="L17" s="5"/>
      <c r="M17" s="5"/>
      <c r="N17" s="5"/>
      <c r="O17" s="5"/>
      <c r="P17" s="5"/>
      <c r="Q17" s="5"/>
      <c r="R17" s="5"/>
      <c r="S17" s="5"/>
      <c r="T17" s="5"/>
      <c r="U17" s="5"/>
      <c r="V17" s="5"/>
      <c r="W17" s="5"/>
      <c r="X17" s="5"/>
      <c r="Y17" s="5"/>
      <c r="Z17" s="5"/>
    </row>
    <row r="18">
      <c r="A18" s="5" t="s">
        <v>138</v>
      </c>
      <c r="B18" s="10">
        <f>COUNTIF('Raw Observation Data'!E4:E23,"Yes")/COUNTA('Raw Observation Data'!A4:A23)*100</f>
        <v>20</v>
      </c>
      <c r="C18" s="5"/>
      <c r="D18" s="5"/>
      <c r="E18" s="5"/>
      <c r="F18" s="5"/>
      <c r="G18" s="5"/>
      <c r="H18" s="5"/>
      <c r="I18" s="5"/>
      <c r="J18" s="5"/>
      <c r="K18" s="5"/>
      <c r="L18" s="5"/>
      <c r="M18" s="5"/>
      <c r="N18" s="5"/>
      <c r="O18" s="5"/>
      <c r="P18" s="5"/>
      <c r="Q18" s="5"/>
      <c r="R18" s="5"/>
      <c r="S18" s="5"/>
      <c r="T18" s="5"/>
      <c r="U18" s="5"/>
      <c r="V18" s="5"/>
      <c r="W18" s="5"/>
      <c r="X18" s="5"/>
      <c r="Y18" s="5"/>
      <c r="Z18" s="5"/>
    </row>
    <row r="19">
      <c r="A19" s="5" t="s">
        <v>119</v>
      </c>
      <c r="B19" s="10">
        <f>AVERAGE('Raw FPS Data'!B4:B27)</f>
        <v>72</v>
      </c>
      <c r="C19" s="5"/>
      <c r="D19" s="5"/>
      <c r="E19" s="5"/>
      <c r="F19" s="5"/>
      <c r="G19" s="5"/>
      <c r="H19" s="5"/>
      <c r="I19" s="5"/>
      <c r="J19" s="5"/>
      <c r="K19" s="5"/>
      <c r="L19" s="5"/>
      <c r="M19" s="5"/>
      <c r="N19" s="5"/>
      <c r="O19" s="5"/>
      <c r="P19" s="5"/>
      <c r="Q19" s="5"/>
      <c r="R19" s="5"/>
      <c r="S19" s="5"/>
      <c r="T19" s="5"/>
      <c r="U19" s="5"/>
      <c r="V19" s="5"/>
      <c r="W19" s="5"/>
      <c r="X19" s="5"/>
      <c r="Y19" s="5"/>
      <c r="Z19" s="5"/>
    </row>
    <row r="20">
      <c r="A20" s="5" t="s">
        <v>139</v>
      </c>
      <c r="B20" s="10">
        <f>MIN('Raw FPS Data'!B4:B27)</f>
        <v>71</v>
      </c>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t="s">
        <v>140</v>
      </c>
      <c r="B21" s="10">
        <f>MAX('Raw FPS Data'!B4:B27)</f>
        <v>73</v>
      </c>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t="s">
        <v>141</v>
      </c>
      <c r="B22" s="10">
        <f>B20-B19</f>
        <v>-1</v>
      </c>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t="s">
        <v>142</v>
      </c>
      <c r="B23" s="10">
        <f>AVERAGE('Raw Observation Data'!D4:D23)/5*100</f>
        <v>82</v>
      </c>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t="s">
        <v>143</v>
      </c>
      <c r="B24" s="10">
        <f>AVERAGE('Raw Observation Data'!B4:B23)/5*100</f>
        <v>90</v>
      </c>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t="s">
        <v>144</v>
      </c>
      <c r="B25" s="10">
        <f>AVERAGE(B8,B9,B12)</f>
        <v>88.56666667</v>
      </c>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t="s">
        <v>145</v>
      </c>
      <c r="B26" s="10">
        <f>AVERAGE(B4,B8,B9)</f>
        <v>83.75</v>
      </c>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t="s">
        <v>146</v>
      </c>
      <c r="B27" s="10">
        <f>B20/72*100</f>
        <v>98.61111111</v>
      </c>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1:G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0"/>
    <col customWidth="1" min="2" max="2" width="12.0"/>
    <col customWidth="1" min="3" max="3" width="8.63"/>
    <col customWidth="1" min="4" max="4" width="34.0"/>
    <col customWidth="1" min="5" max="6" width="18.0"/>
    <col customWidth="1" min="7" max="26" width="8.63"/>
  </cols>
  <sheetData>
    <row r="1">
      <c r="A1" s="12" t="s">
        <v>147</v>
      </c>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4" t="s">
        <v>148</v>
      </c>
      <c r="B3" s="4" t="s">
        <v>149</v>
      </c>
      <c r="C3" s="5"/>
      <c r="D3" s="4" t="s">
        <v>150</v>
      </c>
      <c r="E3" s="4" t="s">
        <v>151</v>
      </c>
      <c r="F3" s="4" t="s">
        <v>152</v>
      </c>
      <c r="G3" s="5"/>
      <c r="H3" s="5"/>
      <c r="I3" s="5"/>
      <c r="J3" s="5"/>
      <c r="K3" s="5"/>
      <c r="L3" s="5"/>
      <c r="M3" s="5"/>
      <c r="N3" s="5"/>
      <c r="O3" s="5"/>
      <c r="P3" s="5"/>
      <c r="Q3" s="5"/>
      <c r="R3" s="5"/>
      <c r="S3" s="5"/>
      <c r="T3" s="5"/>
      <c r="U3" s="5"/>
      <c r="V3" s="5"/>
      <c r="W3" s="5"/>
      <c r="X3" s="5"/>
      <c r="Y3" s="5"/>
      <c r="Z3" s="5"/>
    </row>
    <row r="4">
      <c r="A4" s="5" t="s">
        <v>153</v>
      </c>
      <c r="B4" s="10">
        <f>Calculations!B26</f>
        <v>83.75</v>
      </c>
      <c r="C4" s="5"/>
      <c r="D4" s="5" t="s">
        <v>154</v>
      </c>
      <c r="E4" s="10">
        <f>Calculations!B8</f>
        <v>90.5</v>
      </c>
      <c r="F4" s="5" t="s">
        <v>112</v>
      </c>
      <c r="G4" s="5"/>
      <c r="H4" s="5"/>
      <c r="I4" s="5"/>
      <c r="J4" s="5"/>
      <c r="K4" s="5"/>
      <c r="L4" s="5"/>
      <c r="M4" s="5"/>
      <c r="N4" s="5"/>
      <c r="O4" s="5"/>
      <c r="P4" s="5"/>
      <c r="Q4" s="5"/>
      <c r="R4" s="5"/>
      <c r="S4" s="5"/>
      <c r="T4" s="5"/>
      <c r="U4" s="5"/>
      <c r="V4" s="5"/>
      <c r="W4" s="5"/>
      <c r="X4" s="5"/>
      <c r="Y4" s="5"/>
      <c r="Z4" s="5"/>
    </row>
    <row r="5">
      <c r="A5" s="5" t="s">
        <v>155</v>
      </c>
      <c r="B5" s="10">
        <f>Calculations!B24</f>
        <v>90</v>
      </c>
      <c r="C5" s="5"/>
      <c r="D5" s="5" t="s">
        <v>156</v>
      </c>
      <c r="E5" s="10">
        <f>Calculations!B19</f>
        <v>72</v>
      </c>
      <c r="F5" s="5" t="s">
        <v>121</v>
      </c>
      <c r="G5" s="5"/>
      <c r="H5" s="5"/>
      <c r="I5" s="5"/>
      <c r="J5" s="5"/>
      <c r="K5" s="5"/>
      <c r="L5" s="5"/>
      <c r="M5" s="5"/>
      <c r="N5" s="5"/>
      <c r="O5" s="5"/>
      <c r="P5" s="5"/>
      <c r="Q5" s="5"/>
      <c r="R5" s="5"/>
      <c r="S5" s="5"/>
      <c r="T5" s="5"/>
      <c r="U5" s="5"/>
      <c r="V5" s="5"/>
      <c r="W5" s="5"/>
      <c r="X5" s="5"/>
      <c r="Y5" s="5"/>
      <c r="Z5" s="5"/>
    </row>
    <row r="6">
      <c r="A6" s="5" t="s">
        <v>157</v>
      </c>
      <c r="B6" s="10">
        <f>Calculations!B25</f>
        <v>88.56666667</v>
      </c>
      <c r="C6" s="5"/>
      <c r="D6" s="5" t="s">
        <v>123</v>
      </c>
      <c r="E6" s="10">
        <f>Calculations!B7</f>
        <v>40</v>
      </c>
      <c r="F6" s="5" t="s">
        <v>112</v>
      </c>
      <c r="G6" s="5"/>
      <c r="H6" s="5"/>
      <c r="I6" s="5"/>
      <c r="J6" s="5"/>
      <c r="K6" s="5"/>
      <c r="L6" s="5"/>
      <c r="M6" s="5"/>
      <c r="N6" s="5"/>
      <c r="O6" s="5"/>
      <c r="P6" s="5"/>
      <c r="Q6" s="5"/>
      <c r="R6" s="5"/>
      <c r="S6" s="5"/>
      <c r="T6" s="5"/>
      <c r="U6" s="5"/>
      <c r="V6" s="5"/>
      <c r="W6" s="5"/>
      <c r="X6" s="5"/>
      <c r="Y6" s="5"/>
      <c r="Z6" s="5"/>
    </row>
    <row r="7">
      <c r="A7" s="5" t="s">
        <v>158</v>
      </c>
      <c r="B7" s="10">
        <f>Calculations!B23</f>
        <v>82</v>
      </c>
      <c r="C7" s="5"/>
      <c r="D7" s="5" t="s">
        <v>159</v>
      </c>
      <c r="E7" s="10">
        <f>Calculations!B9</f>
        <v>95.2</v>
      </c>
      <c r="F7" s="5" t="s">
        <v>112</v>
      </c>
      <c r="G7" s="5"/>
      <c r="H7" s="5"/>
      <c r="I7" s="5"/>
      <c r="J7" s="5"/>
      <c r="K7" s="5"/>
      <c r="L7" s="5"/>
      <c r="M7" s="5"/>
      <c r="N7" s="5"/>
      <c r="O7" s="5"/>
      <c r="P7" s="5"/>
      <c r="Q7" s="5"/>
      <c r="R7" s="5"/>
      <c r="S7" s="5"/>
      <c r="T7" s="5"/>
      <c r="U7" s="5"/>
      <c r="V7" s="5"/>
      <c r="W7" s="5"/>
      <c r="X7" s="5"/>
      <c r="Y7" s="5"/>
      <c r="Z7" s="5"/>
    </row>
    <row r="8">
      <c r="A8" s="5" t="s">
        <v>160</v>
      </c>
      <c r="B8" s="10">
        <f>Calculations!B27</f>
        <v>98.61111111</v>
      </c>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4" t="s">
        <v>161</v>
      </c>
      <c r="B11" s="4" t="s">
        <v>2</v>
      </c>
      <c r="C11" s="4" t="s">
        <v>162</v>
      </c>
      <c r="D11" s="4" t="s">
        <v>163</v>
      </c>
      <c r="E11" s="4" t="s">
        <v>2</v>
      </c>
      <c r="F11" s="4" t="s">
        <v>162</v>
      </c>
      <c r="G11" s="5"/>
      <c r="H11" s="5"/>
      <c r="I11" s="5"/>
      <c r="J11" s="5"/>
      <c r="K11" s="5"/>
      <c r="L11" s="5"/>
      <c r="M11" s="5"/>
      <c r="N11" s="5"/>
      <c r="O11" s="5"/>
      <c r="P11" s="5"/>
      <c r="Q11" s="5"/>
      <c r="R11" s="5"/>
      <c r="S11" s="5"/>
      <c r="T11" s="5"/>
      <c r="U11" s="5"/>
      <c r="V11" s="5"/>
      <c r="W11" s="5"/>
      <c r="X11" s="5"/>
      <c r="Y11" s="5"/>
      <c r="Z11" s="5"/>
    </row>
    <row r="12">
      <c r="A12" s="5" t="s">
        <v>164</v>
      </c>
      <c r="B12" s="10">
        <f>Calculations!B8</f>
        <v>90.5</v>
      </c>
      <c r="C12" s="5" t="s">
        <v>165</v>
      </c>
      <c r="D12" s="5" t="s">
        <v>166</v>
      </c>
      <c r="E12" s="10">
        <f>Calculations!B14</f>
        <v>4.5</v>
      </c>
      <c r="F12" s="5" t="s">
        <v>167</v>
      </c>
      <c r="G12" s="5"/>
      <c r="H12" s="5"/>
      <c r="I12" s="5"/>
      <c r="J12" s="5"/>
      <c r="K12" s="5"/>
      <c r="L12" s="5"/>
      <c r="M12" s="5"/>
      <c r="N12" s="5"/>
      <c r="O12" s="5"/>
      <c r="P12" s="5"/>
      <c r="Q12" s="5"/>
      <c r="R12" s="5"/>
      <c r="S12" s="5"/>
      <c r="T12" s="5"/>
      <c r="U12" s="5"/>
      <c r="V12" s="5"/>
      <c r="W12" s="5"/>
      <c r="X12" s="5"/>
      <c r="Y12" s="5"/>
      <c r="Z12" s="5"/>
    </row>
    <row r="13">
      <c r="A13" s="5" t="s">
        <v>168</v>
      </c>
      <c r="B13" s="10">
        <f>Calculations!B9</f>
        <v>95.2</v>
      </c>
      <c r="C13" s="5" t="s">
        <v>165</v>
      </c>
      <c r="D13" s="5" t="s">
        <v>169</v>
      </c>
      <c r="E13" s="10">
        <f>Calculations!B15</f>
        <v>4.5</v>
      </c>
      <c r="F13" s="5" t="s">
        <v>167</v>
      </c>
      <c r="G13" s="5"/>
      <c r="H13" s="5"/>
      <c r="I13" s="5"/>
      <c r="J13" s="5"/>
      <c r="K13" s="5"/>
      <c r="L13" s="5"/>
      <c r="M13" s="5"/>
      <c r="N13" s="5"/>
      <c r="O13" s="5"/>
      <c r="P13" s="5"/>
      <c r="Q13" s="5"/>
      <c r="R13" s="5"/>
      <c r="S13" s="5"/>
      <c r="T13" s="5"/>
      <c r="U13" s="5"/>
      <c r="V13" s="5"/>
      <c r="W13" s="5"/>
      <c r="X13" s="5"/>
      <c r="Y13" s="5"/>
      <c r="Z13" s="5"/>
    </row>
    <row r="14">
      <c r="A14" s="5" t="s">
        <v>170</v>
      </c>
      <c r="B14" s="10">
        <f>Calculations!B12</f>
        <v>80</v>
      </c>
      <c r="C14" s="5" t="s">
        <v>165</v>
      </c>
      <c r="D14" s="5" t="s">
        <v>171</v>
      </c>
      <c r="E14" s="10">
        <f>Calculations!B16</f>
        <v>4.1</v>
      </c>
      <c r="F14" s="5" t="s">
        <v>167</v>
      </c>
      <c r="G14" s="5"/>
      <c r="H14" s="5"/>
      <c r="I14" s="5"/>
      <c r="J14" s="5"/>
      <c r="K14" s="5"/>
      <c r="L14" s="5"/>
      <c r="M14" s="5"/>
      <c r="N14" s="5"/>
      <c r="O14" s="5"/>
      <c r="P14" s="5"/>
      <c r="Q14" s="5"/>
      <c r="R14" s="5"/>
      <c r="S14" s="5"/>
      <c r="T14" s="5"/>
      <c r="U14" s="5"/>
      <c r="V14" s="5"/>
      <c r="W14" s="5"/>
      <c r="X14" s="5"/>
      <c r="Y14" s="5"/>
      <c r="Z14" s="5"/>
    </row>
    <row r="15">
      <c r="A15" s="5"/>
      <c r="B15" s="5"/>
      <c r="C15" s="5"/>
      <c r="D15" s="5" t="s">
        <v>172</v>
      </c>
      <c r="E15" s="10">
        <f>Calculations!B17</f>
        <v>65</v>
      </c>
      <c r="F15" s="5" t="s">
        <v>165</v>
      </c>
      <c r="G15" s="5"/>
      <c r="H15" s="5"/>
      <c r="I15" s="5"/>
      <c r="J15" s="5"/>
      <c r="K15" s="5"/>
      <c r="L15" s="5"/>
      <c r="M15" s="5"/>
      <c r="N15" s="5"/>
      <c r="O15" s="5"/>
      <c r="P15" s="5"/>
      <c r="Q15" s="5"/>
      <c r="R15" s="5"/>
      <c r="S15" s="5"/>
      <c r="T15" s="5"/>
      <c r="U15" s="5"/>
      <c r="V15" s="5"/>
      <c r="W15" s="5"/>
      <c r="X15" s="5"/>
      <c r="Y15" s="5"/>
      <c r="Z15" s="5"/>
    </row>
    <row r="16">
      <c r="A16" s="5"/>
      <c r="B16" s="5"/>
      <c r="C16" s="5"/>
      <c r="D16" s="5" t="s">
        <v>173</v>
      </c>
      <c r="E16" s="10">
        <f>Calculations!B18</f>
        <v>20</v>
      </c>
      <c r="F16" s="5" t="s">
        <v>165</v>
      </c>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1:G1"/>
  </mergeCells>
  <printOptions/>
  <pageMargins bottom="0.75" footer="0.0" header="0.0" left="0.7" right="0.7" top="0.75"/>
  <pageSetup orientation="landscape"/>
  <drawing r:id="rId1"/>
</worksheet>
</file>